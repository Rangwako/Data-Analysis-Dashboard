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brightrockcoza-my.sharepoint.com/personal/simon_rangwako_brightrock_co_za/Documents/Pictures/Pictures/Camera Roll/"/>
    </mc:Choice>
  </mc:AlternateContent>
  <xr:revisionPtr revIDLastSave="693" documentId="8_{14C08F70-4580-4738-80E4-9F5FC5E74C39}" xr6:coauthVersionLast="47" xr6:coauthVersionMax="47" xr10:uidLastSave="{3799F38B-5E7D-44F4-93EB-7759A88F7E20}"/>
  <bookViews>
    <workbookView xWindow="-108" yWindow="-108" windowWidth="23256" windowHeight="12456" activeTab="1" xr2:uid="{00000000-000D-0000-FFFF-FFFF00000000}"/>
  </bookViews>
  <sheets>
    <sheet name="bike_buyers" sheetId="1" r:id="rId1"/>
    <sheet name="Sheet_no1" sheetId="2" r:id="rId2"/>
    <sheet name="Pivot Table" sheetId="3" r:id="rId3"/>
    <sheet name="Dashboard" sheetId="6" r:id="rId4"/>
  </sheets>
  <definedNames>
    <definedName name="_xlnm._FilterDatabase" localSheetId="0" hidden="1">bike_buyers!$A$1:$M$1001</definedName>
    <definedName name="Slicer_Education">#N/A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<sst xmlns="http://schemas.openxmlformats.org/spreadsheetml/2006/main" count="16265" uniqueCount="50">
  <si>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</si>
  <si>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</si>
  <si>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</si>
  <si>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</si>
  <si>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</si>
  <si>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</si>
  <si>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</si>
  <si>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</si>
  <si>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</si>
  <si>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</si>
  <si>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</si>
  <si>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</si>
  <si>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</si>
  <si>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</si>
  <si>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</si>
  <si>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</si>
  <si>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</si>
  <si>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</si>
  <si>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</si>
  <si>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</si>
  <si>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</si>
  <si>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</si>
  <si>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</si>
  <si>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</si>
  <si>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</si>
  <si>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</si>
  <si>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</si>
  <si>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</si>
  <si>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</si>
  <si>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</si>
  <si>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</si>
  <si>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</si>
  <si>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</si>
  <si>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</si>
  <si>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</si>
  <si>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</si>
  <si>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</si>
  <si>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</si>
  <si>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</si>
  <si>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</si>
  <si>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</si>
  <si>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</si>
  <si>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</si>
  <si>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</si>
  <si>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Count of Purchased Bike</t>
  </si>
  <si>
    <t>Column Labels</t>
  </si>
  <si>
    <t>More than 10 Miles</t>
  </si>
  <si>
    <t>Adolscent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</si>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</sst>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R&quot;\ #,##0.00"/>
    <numFmt numFmtId="166" formatCode="&quot;R&quot;\ #,##0"/>
    <numFmt numFmtId="167" formatCode="[$$-409]#,##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9" fillId="0" borderId="0" xfId="0" applyFont="1"/>
    <xf numFmtId="16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Dataset_Project_no.1.xlsx]Pivot Table!PivotTable1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Table'!$A$6:$A$8</c:f>
              <c:strCache>
                <c:ptCount val="2"/>
                <c:pt idx="0">
                  <c:v>Female</c:v>
                </c:pt>
                <c:pt idx="1">
                  <c:v>Male</c:v>
                </c:pt>
              </c:strCache>
            </c:strRef>
          </c:cat>
          <c:val>
            <c:numRef>
              <c:f>'Pivot Table'!$B$6:$B$8</c:f>
              <c:numCache>
                <c:formatCode>"R"\ #,##0</c:formatCode>
                <c:ptCount val="2"/>
                <c:pt idx="0">
                  <c:v>30000</c:v>
                </c:pt>
                <c:pt idx="1">
                  <c:v>25789.473684210527</c:v>
                </c:pt>
              </c:numCache>
            </c:numRef>
          </c:val>
          <c:extLst>
            <c:ext xmlns:c16="http://schemas.microsoft.com/office/drawing/2014/chart" uri="{C3380CC4-5D6E-409C-BE32-E72D297353CC}">
              <c16:uniqueId val="{00000000-62C8-4F59-9331-496FC93251F7}"/>
            </c:ext>
          </c:extLst>
        </c:ser>
        <c:ser>
          <c:idx val="1"/>
          <c:order val="1"/>
          <c:tx>
            <c:strRef>
              <c:f>'Pivot Table'!$C$4:$C$5</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Table'!$A$6:$A$8</c:f>
              <c:strCache>
                <c:ptCount val="2"/>
                <c:pt idx="0">
                  <c:v>Female</c:v>
                </c:pt>
                <c:pt idx="1">
                  <c:v>Male</c:v>
                </c:pt>
              </c:strCache>
            </c:strRef>
          </c:cat>
          <c:val>
            <c:numRef>
              <c:f>'Pivot Table'!$C$6:$C$8</c:f>
              <c:numCache>
                <c:formatCode>"R"\ #,##0</c:formatCode>
                <c:ptCount val="2"/>
                <c:pt idx="0">
                  <c:v>32608.695652173912</c:v>
                </c:pt>
                <c:pt idx="1">
                  <c:v>33000</c:v>
                </c:pt>
              </c:numCache>
            </c:numRef>
          </c:val>
          <c:extLst>
            <c:ext xmlns:c16="http://schemas.microsoft.com/office/drawing/2014/chart" uri="{C3380CC4-5D6E-409C-BE32-E72D297353CC}">
              <c16:uniqueId val="{00000002-C486-472A-B1DD-0CEA0A0430E7}"/>
            </c:ext>
          </c:extLst>
        </c:ser>
        <c:dLbls>
          <c:dLblPos val="inEnd"/>
          <c:showLegendKey val="0"/>
          <c:showVal val="1"/>
          <c:showCatName val="0"/>
          <c:showSerName val="0"/>
          <c:showPercent val="0"/>
          <c:showBubbleSize val="0"/>
        </c:dLbls>
        <c:gapWidth val="65"/>
        <c:axId val="671062095"/>
        <c:axId val="599268175"/>
      </c:barChart>
      <c:catAx>
        <c:axId val="6710620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9268175"/>
        <c:crosses val="autoZero"/>
        <c:auto val="1"/>
        <c:lblAlgn val="ctr"/>
        <c:lblOffset val="100"/>
        <c:noMultiLvlLbl val="0"/>
      </c:catAx>
      <c:valAx>
        <c:axId val="59926817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R&quot;\ #,##0" sourceLinked="1"/>
        <c:majorTickMark val="none"/>
        <c:minorTickMark val="none"/>
        <c:tickLblPos val="nextTo"/>
        <c:crossAx val="6710620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Dataset_Project_no.1.xlsx]Pivot Table!PivotTable2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6735301837270341"/>
          <c:h val="0.65853091280256637"/>
        </c:manualLayout>
      </c:layout>
      <c:lineChart>
        <c:grouping val="standard"/>
        <c:varyColors val="0"/>
        <c:ser>
          <c:idx val="0"/>
          <c:order val="0"/>
          <c:tx>
            <c:strRef>
              <c:f>'Pivot Table'!$B$24:$B$25</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Table'!$A$26:$A$30</c:f>
              <c:strCache>
                <c:ptCount val="4"/>
                <c:pt idx="0">
                  <c:v>0-1 Miles</c:v>
                </c:pt>
                <c:pt idx="1">
                  <c:v>1-2 Miles</c:v>
                </c:pt>
                <c:pt idx="2">
                  <c:v>2-5 Miles</c:v>
                </c:pt>
                <c:pt idx="3">
                  <c:v>5-10 Miles</c:v>
                </c:pt>
              </c:strCache>
            </c:strRef>
          </c:cat>
          <c:val>
            <c:numRef>
              <c:f>'Pivot Table'!$B$26:$B$30</c:f>
              <c:numCache>
                <c:formatCode>General</c:formatCode>
                <c:ptCount val="4"/>
                <c:pt idx="0">
                  <c:v>32</c:v>
                </c:pt>
                <c:pt idx="1">
                  <c:v>3</c:v>
                </c:pt>
                <c:pt idx="2">
                  <c:v>1</c:v>
                </c:pt>
                <c:pt idx="3">
                  <c:v>7</c:v>
                </c:pt>
              </c:numCache>
            </c:numRef>
          </c:val>
          <c:smooth val="0"/>
          <c:extLst>
            <c:ext xmlns:c16="http://schemas.microsoft.com/office/drawing/2014/chart" uri="{C3380CC4-5D6E-409C-BE32-E72D297353CC}">
              <c16:uniqueId val="{00000000-A65C-4925-BC8B-ECA59A883848}"/>
            </c:ext>
          </c:extLst>
        </c:ser>
        <c:ser>
          <c:idx val="1"/>
          <c:order val="1"/>
          <c:tx>
            <c:strRef>
              <c:f>'Pivot Table'!$C$24:$C$25</c:f>
              <c:strCache>
                <c:ptCount val="1"/>
                <c:pt idx="0">
                  <c:v>Yes</c:v>
                </c:pt>
              </c:strCache>
            </c:strRef>
          </c:tx>
          <c:spPr>
            <a:ln w="317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Table'!$A$26:$A$30</c:f>
              <c:strCache>
                <c:ptCount val="4"/>
                <c:pt idx="0">
                  <c:v>0-1 Miles</c:v>
                </c:pt>
                <c:pt idx="1">
                  <c:v>1-2 Miles</c:v>
                </c:pt>
                <c:pt idx="2">
                  <c:v>2-5 Miles</c:v>
                </c:pt>
                <c:pt idx="3">
                  <c:v>5-10 Miles</c:v>
                </c:pt>
              </c:strCache>
            </c:strRef>
          </c:cat>
          <c:val>
            <c:numRef>
              <c:f>'Pivot Table'!$C$26:$C$30</c:f>
              <c:numCache>
                <c:formatCode>General</c:formatCode>
                <c:ptCount val="4"/>
                <c:pt idx="0">
                  <c:v>32</c:v>
                </c:pt>
                <c:pt idx="1">
                  <c:v>9</c:v>
                </c:pt>
                <c:pt idx="2">
                  <c:v>1</c:v>
                </c:pt>
                <c:pt idx="3">
                  <c:v>1</c:v>
                </c:pt>
              </c:numCache>
            </c:numRef>
          </c:val>
          <c:smooth val="0"/>
          <c:extLst>
            <c:ext xmlns:c16="http://schemas.microsoft.com/office/drawing/2014/chart" uri="{C3380CC4-5D6E-409C-BE32-E72D297353CC}">
              <c16:uniqueId val="{00000003-A4EA-437E-9377-1E1125D49963}"/>
            </c:ext>
          </c:extLst>
        </c:ser>
        <c:dLbls>
          <c:dLblPos val="ctr"/>
          <c:showLegendKey val="0"/>
          <c:showVal val="1"/>
          <c:showCatName val="0"/>
          <c:showSerName val="0"/>
          <c:showPercent val="0"/>
          <c:showBubbleSize val="0"/>
        </c:dLbls>
        <c:marker val="1"/>
        <c:smooth val="0"/>
        <c:axId val="2118173216"/>
        <c:axId val="2106722032"/>
      </c:lineChart>
      <c:catAx>
        <c:axId val="21181732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Commute</a:t>
                </a:r>
                <a:r>
                  <a:rPr lang="en-ZA" baseline="0"/>
                  <a:t> Distance</a:t>
                </a:r>
                <a:endParaRPr lang="en-ZA"/>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ZA"/>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06722032"/>
        <c:crosses val="autoZero"/>
        <c:auto val="1"/>
        <c:lblAlgn val="ctr"/>
        <c:lblOffset val="100"/>
        <c:noMultiLvlLbl val="0"/>
      </c:catAx>
      <c:valAx>
        <c:axId val="21067220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18173216"/>
        <c:crosses val="autoZero"/>
        <c:crossBetween val="between"/>
      </c:valAx>
      <c:spPr>
        <a:noFill/>
        <a:ln>
          <a:noFill/>
        </a:ln>
        <a:effectLst/>
      </c:spPr>
    </c:plotArea>
    <c:legend>
      <c:legendPos val="r"/>
      <c:layout>
        <c:manualLayout>
          <c:xMode val="edge"/>
          <c:yMode val="edge"/>
          <c:x val="0.8"/>
          <c:y val="0.38824110527850686"/>
          <c:w val="0.2"/>
          <c:h val="0.2235174249052201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Dataset_Project_no.1.xlsx]Pivot 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Table'!$A$44:$A$47</c:f>
              <c:strCache>
                <c:ptCount val="3"/>
                <c:pt idx="0">
                  <c:v>Adolscent</c:v>
                </c:pt>
                <c:pt idx="1">
                  <c:v>Middle Age</c:v>
                </c:pt>
                <c:pt idx="2">
                  <c:v>Old</c:v>
                </c:pt>
              </c:strCache>
            </c:strRef>
          </c:cat>
          <c:val>
            <c:numRef>
              <c:f>'Pivot Table'!$B$44:$B$47</c:f>
              <c:numCache>
                <c:formatCode>General</c:formatCode>
                <c:ptCount val="3"/>
                <c:pt idx="0">
                  <c:v>3</c:v>
                </c:pt>
                <c:pt idx="1">
                  <c:v>29</c:v>
                </c:pt>
                <c:pt idx="2">
                  <c:v>11</c:v>
                </c:pt>
              </c:numCache>
            </c:numRef>
          </c:val>
          <c:smooth val="0"/>
          <c:extLst>
            <c:ext xmlns:c16="http://schemas.microsoft.com/office/drawing/2014/chart" uri="{C3380CC4-5D6E-409C-BE32-E72D297353CC}">
              <c16:uniqueId val="{00000000-1AEA-4226-B5C7-C5102C564C95}"/>
            </c:ext>
          </c:extLst>
        </c:ser>
        <c:ser>
          <c:idx val="1"/>
          <c:order val="1"/>
          <c:tx>
            <c:strRef>
              <c:f>'Pivot Table'!$C$42:$C$43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Table'!$A$44:$A$47</c:f>
              <c:strCache>
                <c:ptCount val="3"/>
                <c:pt idx="0">
                  <c:v>Adolscent</c:v>
                </c:pt>
                <c:pt idx="1">
                  <c:v>Middle Age</c:v>
                </c:pt>
                <c:pt idx="2">
                  <c:v>Old</c:v>
                </c:pt>
              </c:strCache>
            </c:strRef>
          </c:cat>
          <c:val>
            <c:numRef>
              <c:f>'Pivot Table'!$C$44:$C$47</c:f>
              <c:numCache>
                <c:formatCode>General</c:formatCode>
                <c:ptCount val="3"/>
                <c:pt idx="0">
                  <c:v>4</c:v>
                </c:pt>
                <c:pt idx="1">
                  <c:v>35</c:v>
                </c:pt>
                <c:pt idx="2">
                  <c:v>4</c:v>
                </c:pt>
              </c:numCache>
            </c:numRef>
          </c:val>
          <c:smooth val="0"/>
          <c:extLst>
            <c:ext xmlns:c16="http://schemas.microsoft.com/office/drawing/2014/chart" uri="{C3380CC4-5D6E-409C-BE32-E72D297353CC}">
              <c16:uniqueId val="{00000003-77B3-4545-A89D-D04B97DB31D8}"/>
            </c:ext>
          </c:extLst>
        </c:ser>
        <c:dLbls>
          <c:showLegendKey val="0"/>
          <c:showVal val="0"/>
          <c:showCatName val="0"/>
          <c:showSerName val="0"/>
          <c:showPercent val="0"/>
          <c:showBubbleSize val="0"/>
        </c:dLbls>
        <c:marker val="1"/>
        <c:smooth val="0"/>
        <c:axId val="1224852016"/>
        <c:axId val="2106854992"/>
      </c:lineChart>
      <c:catAx>
        <c:axId val="12248520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Age Brackets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854992"/>
        <c:crosses val="autoZero"/>
        <c:auto val="1"/>
        <c:lblAlgn val="ctr"/>
        <c:lblOffset val="100"/>
        <c:noMultiLvlLbl val="0"/>
      </c:catAx>
      <c:valAx>
        <c:axId val="2106854992"/>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85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Dataset_Project_no.1.xlsx]Pivot Table!PivotTable1</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Income Per Purchase</a:t>
            </a:r>
          </a:p>
        </c:rich>
      </c:tx>
      <c:layout>
        <c:manualLayout>
          <c:xMode val="edge"/>
          <c:yMode val="edge"/>
          <c:x val="0.28621592562895626"/>
          <c:y val="0.1227286418471841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Table'!$A$6:$A$8</c:f>
              <c:strCache>
                <c:ptCount val="2"/>
                <c:pt idx="0">
                  <c:v>Female</c:v>
                </c:pt>
                <c:pt idx="1">
                  <c:v>Male</c:v>
                </c:pt>
              </c:strCache>
            </c:strRef>
          </c:cat>
          <c:val>
            <c:numRef>
              <c:f>'Pivot Table'!$B$6:$B$8</c:f>
              <c:numCache>
                <c:formatCode>"R"\ #,##0</c:formatCode>
                <c:ptCount val="2"/>
                <c:pt idx="0">
                  <c:v>30000</c:v>
                </c:pt>
                <c:pt idx="1">
                  <c:v>25789.473684210527</c:v>
                </c:pt>
              </c:numCache>
            </c:numRef>
          </c:val>
          <c:extLst>
            <c:ext xmlns:c16="http://schemas.microsoft.com/office/drawing/2014/chart" uri="{C3380CC4-5D6E-409C-BE32-E72D297353CC}">
              <c16:uniqueId val="{00000000-127E-4ECC-90F3-33BB3E2A7B47}"/>
            </c:ext>
          </c:extLst>
        </c:ser>
        <c:ser>
          <c:idx val="1"/>
          <c:order val="1"/>
          <c:tx>
            <c:strRef>
              <c:f>'Pivot Table'!$C$4:$C$5</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Table'!$A$6:$A$8</c:f>
              <c:strCache>
                <c:ptCount val="2"/>
                <c:pt idx="0">
                  <c:v>Female</c:v>
                </c:pt>
                <c:pt idx="1">
                  <c:v>Male</c:v>
                </c:pt>
              </c:strCache>
            </c:strRef>
          </c:cat>
          <c:val>
            <c:numRef>
              <c:f>'Pivot Table'!$C$6:$C$8</c:f>
              <c:numCache>
                <c:formatCode>"R"\ #,##0</c:formatCode>
                <c:ptCount val="2"/>
                <c:pt idx="0">
                  <c:v>32608.695652173912</c:v>
                </c:pt>
                <c:pt idx="1">
                  <c:v>33000</c:v>
                </c:pt>
              </c:numCache>
            </c:numRef>
          </c:val>
          <c:extLst>
            <c:ext xmlns:c16="http://schemas.microsoft.com/office/drawing/2014/chart" uri="{C3380CC4-5D6E-409C-BE32-E72D297353CC}">
              <c16:uniqueId val="{00000003-E6F7-488A-ABA3-3091F42C8303}"/>
            </c:ext>
          </c:extLst>
        </c:ser>
        <c:dLbls>
          <c:dLblPos val="inEnd"/>
          <c:showLegendKey val="0"/>
          <c:showVal val="1"/>
          <c:showCatName val="0"/>
          <c:showSerName val="0"/>
          <c:showPercent val="0"/>
          <c:showBubbleSize val="0"/>
        </c:dLbls>
        <c:gapWidth val="100"/>
        <c:overlap val="-24"/>
        <c:axId val="671062095"/>
        <c:axId val="599268175"/>
      </c:barChart>
      <c:catAx>
        <c:axId val="67106209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9268175"/>
        <c:crosses val="autoZero"/>
        <c:auto val="1"/>
        <c:lblAlgn val="ctr"/>
        <c:lblOffset val="100"/>
        <c:noMultiLvlLbl val="0"/>
      </c:catAx>
      <c:valAx>
        <c:axId val="5992681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106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Dataset_Project_no.1.xlsx]Pivot Table!PivotTable2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6735301837270341"/>
          <c:h val="0.65853091280256637"/>
        </c:manualLayout>
      </c:layout>
      <c:lineChart>
        <c:grouping val="standard"/>
        <c:varyColors val="0"/>
        <c:ser>
          <c:idx val="0"/>
          <c:order val="0"/>
          <c:tx>
            <c:strRef>
              <c:f>'Pivot Table'!$B$24:$B$25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Table'!$A$26:$A$30</c:f>
              <c:strCache>
                <c:ptCount val="4"/>
                <c:pt idx="0">
                  <c:v>0-1 Miles</c:v>
                </c:pt>
                <c:pt idx="1">
                  <c:v>1-2 Miles</c:v>
                </c:pt>
                <c:pt idx="2">
                  <c:v>2-5 Miles</c:v>
                </c:pt>
                <c:pt idx="3">
                  <c:v>5-10 Miles</c:v>
                </c:pt>
              </c:strCache>
            </c:strRef>
          </c:cat>
          <c:val>
            <c:numRef>
              <c:f>'Pivot Table'!$B$26:$B$30</c:f>
              <c:numCache>
                <c:formatCode>General</c:formatCode>
                <c:ptCount val="4"/>
                <c:pt idx="0">
                  <c:v>32</c:v>
                </c:pt>
                <c:pt idx="1">
                  <c:v>3</c:v>
                </c:pt>
                <c:pt idx="2">
                  <c:v>1</c:v>
                </c:pt>
                <c:pt idx="3">
                  <c:v>7</c:v>
                </c:pt>
              </c:numCache>
            </c:numRef>
          </c:val>
          <c:smooth val="0"/>
          <c:extLst>
            <c:ext xmlns:c16="http://schemas.microsoft.com/office/drawing/2014/chart" uri="{C3380CC4-5D6E-409C-BE32-E72D297353CC}">
              <c16:uniqueId val="{00000000-0960-4B58-8DB2-C7A2CC3FAB8C}"/>
            </c:ext>
          </c:extLst>
        </c:ser>
        <c:ser>
          <c:idx val="1"/>
          <c:order val="1"/>
          <c:tx>
            <c:strRef>
              <c:f>'Pivot Table'!$C$24:$C$25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Table'!$A$26:$A$30</c:f>
              <c:strCache>
                <c:ptCount val="4"/>
                <c:pt idx="0">
                  <c:v>0-1 Miles</c:v>
                </c:pt>
                <c:pt idx="1">
                  <c:v>1-2 Miles</c:v>
                </c:pt>
                <c:pt idx="2">
                  <c:v>2-5 Miles</c:v>
                </c:pt>
                <c:pt idx="3">
                  <c:v>5-10 Miles</c:v>
                </c:pt>
              </c:strCache>
            </c:strRef>
          </c:cat>
          <c:val>
            <c:numRef>
              <c:f>'Pivot Table'!$C$26:$C$30</c:f>
              <c:numCache>
                <c:formatCode>General</c:formatCode>
                <c:ptCount val="4"/>
                <c:pt idx="0">
                  <c:v>32</c:v>
                </c:pt>
                <c:pt idx="1">
                  <c:v>9</c:v>
                </c:pt>
                <c:pt idx="2">
                  <c:v>1</c:v>
                </c:pt>
                <c:pt idx="3">
                  <c:v>1</c:v>
                </c:pt>
              </c:numCache>
            </c:numRef>
          </c:val>
          <c:smooth val="0"/>
          <c:extLst>
            <c:ext xmlns:c16="http://schemas.microsoft.com/office/drawing/2014/chart" uri="{C3380CC4-5D6E-409C-BE32-E72D297353CC}">
              <c16:uniqueId val="{00000003-3493-4D6C-B3C3-C3029B18AE3D}"/>
            </c:ext>
          </c:extLst>
        </c:ser>
        <c:dLbls>
          <c:dLblPos val="ctr"/>
          <c:showLegendKey val="0"/>
          <c:showVal val="1"/>
          <c:showCatName val="0"/>
          <c:showSerName val="0"/>
          <c:showPercent val="0"/>
          <c:showBubbleSize val="0"/>
        </c:dLbls>
        <c:marker val="1"/>
        <c:smooth val="0"/>
        <c:axId val="2118173216"/>
        <c:axId val="2106722032"/>
      </c:lineChart>
      <c:catAx>
        <c:axId val="21181732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722032"/>
        <c:crosses val="autoZero"/>
        <c:auto val="1"/>
        <c:lblAlgn val="ctr"/>
        <c:lblOffset val="100"/>
        <c:noMultiLvlLbl val="0"/>
      </c:catAx>
      <c:valAx>
        <c:axId val="2106722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8173216"/>
        <c:crosses val="autoZero"/>
        <c:crossBetween val="between"/>
      </c:valAx>
      <c:spPr>
        <a:noFill/>
        <a:ln>
          <a:noFill/>
        </a:ln>
        <a:effectLst/>
      </c:spPr>
    </c:plotArea>
    <c:legend>
      <c:legendPos val="r"/>
      <c:layout>
        <c:manualLayout>
          <c:xMode val="edge"/>
          <c:yMode val="edge"/>
          <c:x val="0.8"/>
          <c:y val="0.38824110527850686"/>
          <c:w val="0.13176885524358539"/>
          <c:h val="0.216821810579678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Dataset_Project_no.1.xlsx]Pivot Table!PivotTable5</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Customer Age Brackets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Table'!$A$44:$A$47</c:f>
              <c:strCache>
                <c:ptCount val="3"/>
                <c:pt idx="0">
                  <c:v>Adolscent</c:v>
                </c:pt>
                <c:pt idx="1">
                  <c:v>Middle Age</c:v>
                </c:pt>
                <c:pt idx="2">
                  <c:v>Old</c:v>
                </c:pt>
              </c:strCache>
            </c:strRef>
          </c:cat>
          <c:val>
            <c:numRef>
              <c:f>'Pivot Table'!$B$44:$B$47</c:f>
              <c:numCache>
                <c:formatCode>General</c:formatCode>
                <c:ptCount val="3"/>
                <c:pt idx="0">
                  <c:v>3</c:v>
                </c:pt>
                <c:pt idx="1">
                  <c:v>29</c:v>
                </c:pt>
                <c:pt idx="2">
                  <c:v>11</c:v>
                </c:pt>
              </c:numCache>
            </c:numRef>
          </c:val>
          <c:smooth val="0"/>
          <c:extLst>
            <c:ext xmlns:c16="http://schemas.microsoft.com/office/drawing/2014/chart" uri="{C3380CC4-5D6E-409C-BE32-E72D297353CC}">
              <c16:uniqueId val="{00000000-2EB5-469D-AA63-4A64B02E5C9F}"/>
            </c:ext>
          </c:extLst>
        </c:ser>
        <c:ser>
          <c:idx val="1"/>
          <c:order val="1"/>
          <c:tx>
            <c:strRef>
              <c:f>'Pivot Table'!$C$42:$C$43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Table'!$A$44:$A$47</c:f>
              <c:strCache>
                <c:ptCount val="3"/>
                <c:pt idx="0">
                  <c:v>Adolscent</c:v>
                </c:pt>
                <c:pt idx="1">
                  <c:v>Middle Age</c:v>
                </c:pt>
                <c:pt idx="2">
                  <c:v>Old</c:v>
                </c:pt>
              </c:strCache>
            </c:strRef>
          </c:cat>
          <c:val>
            <c:numRef>
              <c:f>'Pivot Table'!$C$44:$C$47</c:f>
              <c:numCache>
                <c:formatCode>General</c:formatCode>
                <c:ptCount val="3"/>
                <c:pt idx="0">
                  <c:v>4</c:v>
                </c:pt>
                <c:pt idx="1">
                  <c:v>35</c:v>
                </c:pt>
                <c:pt idx="2">
                  <c:v>4</c:v>
                </c:pt>
              </c:numCache>
            </c:numRef>
          </c:val>
          <c:smooth val="0"/>
          <c:extLst>
            <c:ext xmlns:c16="http://schemas.microsoft.com/office/drawing/2014/chart" uri="{C3380CC4-5D6E-409C-BE32-E72D297353CC}">
              <c16:uniqueId val="{00000003-549E-4FB1-9AD9-A0414DE653A0}"/>
            </c:ext>
          </c:extLst>
        </c:ser>
        <c:dLbls>
          <c:dLblPos val="ctr"/>
          <c:showLegendKey val="0"/>
          <c:showVal val="1"/>
          <c:showCatName val="0"/>
          <c:showSerName val="0"/>
          <c:showPercent val="0"/>
          <c:showBubbleSize val="0"/>
        </c:dLbls>
        <c:marker val="1"/>
        <c:smooth val="0"/>
        <c:axId val="1224852016"/>
        <c:axId val="2106854992"/>
      </c:lineChart>
      <c:catAx>
        <c:axId val="12248520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Age Brackets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854992"/>
        <c:crosses val="autoZero"/>
        <c:auto val="1"/>
        <c:lblAlgn val="ctr"/>
        <c:lblOffset val="100"/>
        <c:noMultiLvlLbl val="0"/>
      </c:catAx>
      <c:valAx>
        <c:axId val="2106854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85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598170</xdr:colOff>
      <xdr:row>0</xdr:row>
      <xdr:rowOff>133350</xdr:rowOff>
    </xdr:from>
    <xdr:to>
      <xdr:col>10</xdr:col>
      <xdr:colOff>293370</xdr:colOff>
      <xdr:row>15</xdr:row>
      <xdr:rowOff>133350</xdr:rowOff>
    </xdr:to>
    <xdr:graphicFrame macro="">
      <xdr:nvGraphicFramePr>
        <xdr:cNvPr id="4" name="Chart 3">
          <a:extLst>
            <a:ext uri="{FF2B5EF4-FFF2-40B4-BE49-F238E27FC236}">
              <a16:creationId xmlns:a16="http://schemas.microsoft.com/office/drawing/2014/main" id="{A4EC6ACE-EEDD-1BD9-39D5-3BAD87089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293370</xdr:colOff>
      <xdr:row>17</xdr:row>
      <xdr:rowOff>179070</xdr:rowOff>
    </xdr:from>
    <xdr:to>
      <xdr:col>11</xdr:col>
      <xdr:colOff>598170</xdr:colOff>
      <xdr:row>32</xdr:row>
      <xdr:rowOff>179070</xdr:rowOff>
    </xdr:to>
    <xdr:graphicFrame macro="">
      <xdr:nvGraphicFramePr>
        <xdr:cNvPr id="5" name="Chart 4">
          <a:extLst>
            <a:ext uri="{FF2B5EF4-FFF2-40B4-BE49-F238E27FC236}">
              <a16:creationId xmlns:a16="http://schemas.microsoft.com/office/drawing/2014/main" id="{C1D85889-34BC-B704-55E6-69CEB322C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255270</xdr:colOff>
      <xdr:row>35</xdr:row>
      <xdr:rowOff>41910</xdr:rowOff>
    </xdr:from>
    <xdr:to>
      <xdr:col>11</xdr:col>
      <xdr:colOff>560070</xdr:colOff>
      <xdr:row>50</xdr:row>
      <xdr:rowOff>41910</xdr:rowOff>
    </xdr:to>
    <xdr:graphicFrame macro="">
      <xdr:nvGraphicFramePr>
        <xdr:cNvPr id="6" name="Chart 5">
          <a:extLst>
            <a:ext uri="{FF2B5EF4-FFF2-40B4-BE49-F238E27FC236}">
              <a16:creationId xmlns:a16="http://schemas.microsoft.com/office/drawing/2014/main" id="{41DE4F10-D276-71CF-6C9F-3A7EEFE6D2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211157</xdr:colOff>
      <xdr:row>3</xdr:row>
      <xdr:rowOff>1</xdr:rowOff>
    </xdr:from>
    <xdr:to>
      <xdr:col>7</xdr:col>
      <xdr:colOff>522017</xdr:colOff>
      <xdr:row>16</xdr:row>
      <xdr:rowOff>60960</xdr:rowOff>
    </xdr:to>
    <xdr:graphicFrame macro="">
      <xdr:nvGraphicFramePr>
        <xdr:cNvPr id="2" name="Chart 1">
          <a:extLst>
            <a:ext uri="{FF2B5EF4-FFF2-40B4-BE49-F238E27FC236}">
              <a16:creationId xmlns:a16="http://schemas.microsoft.com/office/drawing/2014/main" id="{8E4EBEC5-E414-4C7D-8E4A-E912EF397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211158</xdr:colOff>
      <xdr:row>16</xdr:row>
      <xdr:rowOff>67464</xdr:rowOff>
    </xdr:from>
    <xdr:to>
      <xdr:col>13</xdr:col>
      <xdr:colOff>504941</xdr:colOff>
      <xdr:row>31</xdr:row>
      <xdr:rowOff>121920</xdr:rowOff>
    </xdr:to>
    <xdr:graphicFrame macro="">
      <xdr:nvGraphicFramePr>
        <xdr:cNvPr id="3" name="Chart 2">
          <a:extLst>
            <a:ext uri="{FF2B5EF4-FFF2-40B4-BE49-F238E27FC236}">
              <a16:creationId xmlns:a16="http://schemas.microsoft.com/office/drawing/2014/main" id="{5B2F8F50-0442-4772-BB18-E8FBE4CF4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518784</xdr:colOff>
      <xdr:row>3</xdr:row>
      <xdr:rowOff>10556</xdr:rowOff>
    </xdr:from>
    <xdr:to>
      <xdr:col>13</xdr:col>
      <xdr:colOff>504940</xdr:colOff>
      <xdr:row>16</xdr:row>
      <xdr:rowOff>60960</xdr:rowOff>
    </xdr:to>
    <xdr:graphicFrame macro="">
      <xdr:nvGraphicFramePr>
        <xdr:cNvPr id="4" name="Chart 3">
          <a:extLst>
            <a:ext uri="{FF2B5EF4-FFF2-40B4-BE49-F238E27FC236}">
              <a16:creationId xmlns:a16="http://schemas.microsoft.com/office/drawing/2014/main" id="{BBBB083B-1385-4072-B0A1-F66BAFFC7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30480</xdr:rowOff>
    </xdr:from>
    <xdr:to>
      <xdr:col>13</xdr:col>
      <xdr:colOff>502919</xdr:colOff>
      <xdr:row>3</xdr:row>
      <xdr:rowOff>30480</xdr:rowOff>
    </xdr:to>
    <xdr:sp macro="" textlink="">
      <xdr:nvSpPr>
        <xdr:cNvPr id="5" name="Rectangle 4">
          <a:extLst>
            <a:ext uri="{FF2B5EF4-FFF2-40B4-BE49-F238E27FC236}">
              <a16:creationId xmlns:a16="http://schemas.microsoft.com/office/drawing/2014/main" id="{8F8CB5E5-ED83-D53D-A4D0-FB07AD0B6E93}"/>
            </a:ext>
          </a:extLst>
        </xdr:cNvPr>
        <xdr:cNvSpPr/>
      </xdr:nvSpPr>
      <xdr:spPr>
        <a:xfrm>
          <a:off x="0" y="30480"/>
          <a:ext cx="8427719" cy="1143000"/>
        </a:xfrm>
        <a:prstGeom prst="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ZA" sz="5400">
              <a:solidFill>
                <a:schemeClr val="tx1">
                  <a:lumMod val="95000"/>
                  <a:lumOff val="5000"/>
                </a:schemeClr>
              </a:solidFill>
            </a:rPr>
            <a:t>      Bike</a:t>
          </a:r>
          <a:r>
            <a:rPr lang="en-ZA" sz="5400" baseline="0">
              <a:solidFill>
                <a:schemeClr val="tx1">
                  <a:lumMod val="95000"/>
                  <a:lumOff val="5000"/>
                </a:schemeClr>
              </a:solidFill>
            </a:rPr>
            <a:t> Sales Dashboard</a:t>
          </a:r>
          <a:endParaRPr lang="en-ZA" sz="5400">
            <a:solidFill>
              <a:schemeClr val="tx1">
                <a:lumMod val="95000"/>
                <a:lumOff val="5000"/>
              </a:schemeClr>
            </a:solidFill>
          </a:endParaRPr>
        </a:p>
      </xdr:txBody>
    </xdr:sp>
    <xdr:clientData/>
  </xdr:twoCellAnchor>
  <xdr:twoCellAnchor editAs="oneCell">
    <xdr:from>
      <xdr:col>0</xdr:col>
      <xdr:colOff>28475</xdr:colOff>
      <xdr:row>3</xdr:row>
      <xdr:rowOff>36896</xdr:rowOff>
    </xdr:from>
    <xdr:to>
      <xdr:col>2</xdr:col>
      <xdr:colOff>228600</xdr:colOff>
      <xdr:row>7</xdr:row>
      <xdr:rowOff>125128</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C6F6E31A-F57F-575B-F62D-EB0CAFC06E8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8475" y="1184486"/>
              <a:ext cx="1411980" cy="82269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143692</xdr:rowOff>
    </xdr:from>
    <xdr:to>
      <xdr:col>2</xdr:col>
      <xdr:colOff>223827</xdr:colOff>
      <xdr:row>13</xdr:row>
      <xdr:rowOff>150726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3701BF40-B623-66A3-B52F-627376E3B3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5740"/>
              <a:ext cx="1435682" cy="110872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160439</xdr:rowOff>
    </xdr:from>
    <xdr:to>
      <xdr:col>2</xdr:col>
      <xdr:colOff>234462</xdr:colOff>
      <xdr:row>22</xdr:row>
      <xdr:rowOff>133978</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855859A9-2EC1-9BFF-DEB0-807D2678484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144174"/>
              <a:ext cx="1446317" cy="162606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160021</xdr:rowOff>
    </xdr:from>
    <xdr:to>
      <xdr:col>2</xdr:col>
      <xdr:colOff>243840</xdr:colOff>
      <xdr:row>31</xdr:row>
      <xdr:rowOff>137161</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BC38F288-EAD5-165E-0047-10D796D2FA4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0" y="4796286"/>
              <a:ext cx="1455695" cy="162967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on Rangwako" refreshedDate="46258.788215162036" createdVersion="8" refreshedVersion="8" minRefreshableVersion="3" recordCount="1000" xr:uid="{60BDE892-A5D7-45D8-B95F-D22AA3D9279F}">
  <cacheSource type="worksheet">
    <worksheetSource ref="A1:N1001" sheet="Sheet_no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s v="Old"/>
        <s v="Adolscent"/>
        <s v="Middle Age 31-59" u="1"/>
        <s v="Old 60+" u="1"/>
        <s v="Adol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903557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0"/>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0"/>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0"/>
    <x v="1"/>
  </r>
  <r>
    <n v="12610"/>
    <x v="0"/>
    <x v="0"/>
    <n v="30000"/>
    <n v="1"/>
    <x v="0"/>
    <x v="1"/>
    <s v="Yes"/>
    <n v="0"/>
    <x v="0"/>
    <x v="0"/>
    <n v="47"/>
    <x v="0"/>
    <x v="0"/>
  </r>
  <r>
    <n v="27183"/>
    <x v="1"/>
    <x v="1"/>
    <n v="40000"/>
    <n v="2"/>
    <x v="1"/>
    <x v="1"/>
    <s v="Yes"/>
    <n v="1"/>
    <x v="3"/>
    <x v="0"/>
    <n v="35"/>
    <x v="0"/>
    <x v="1"/>
  </r>
  <r>
    <n v="25940"/>
    <x v="1"/>
    <x v="1"/>
    <n v="20000"/>
    <n v="2"/>
    <x v="3"/>
    <x v="1"/>
    <s v="Yes"/>
    <n v="2"/>
    <x v="2"/>
    <x v="1"/>
    <n v="55"/>
    <x v="0"/>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0"/>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0"/>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0"/>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0"/>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0"/>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0"/>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0"/>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0"/>
    <x v="1"/>
  </r>
  <r>
    <n v="12212"/>
    <x v="0"/>
    <x v="0"/>
    <n v="10000"/>
    <n v="0"/>
    <x v="4"/>
    <x v="3"/>
    <s v="Yes"/>
    <n v="0"/>
    <x v="0"/>
    <x v="0"/>
    <n v="37"/>
    <x v="0"/>
    <x v="1"/>
  </r>
  <r>
    <n v="25529"/>
    <x v="1"/>
    <x v="1"/>
    <n v="10000"/>
    <n v="1"/>
    <x v="4"/>
    <x v="3"/>
    <s v="Yes"/>
    <n v="0"/>
    <x v="0"/>
    <x v="0"/>
    <n v="44"/>
    <x v="0"/>
    <x v="0"/>
  </r>
  <r>
    <n v="22170"/>
    <x v="0"/>
    <x v="0"/>
    <n v="30000"/>
    <n v="3"/>
    <x v="1"/>
    <x v="1"/>
    <s v="No"/>
    <n v="2"/>
    <x v="3"/>
    <x v="1"/>
    <n v="55"/>
    <x v="0"/>
    <x v="1"/>
  </r>
  <r>
    <n v="19445"/>
    <x v="0"/>
    <x v="0"/>
    <n v="10000"/>
    <n v="2"/>
    <x v="2"/>
    <x v="3"/>
    <s v="No"/>
    <n v="1"/>
    <x v="0"/>
    <x v="0"/>
    <n v="38"/>
    <x v="0"/>
    <x v="0"/>
  </r>
  <r>
    <n v="15265"/>
    <x v="1"/>
    <x v="1"/>
    <n v="40000"/>
    <n v="2"/>
    <x v="0"/>
    <x v="4"/>
    <s v="Yes"/>
    <n v="2"/>
    <x v="2"/>
    <x v="1"/>
    <n v="66"/>
    <x v="1"/>
    <x v="1"/>
  </r>
  <r>
    <n v="28918"/>
    <x v="0"/>
    <x v="0"/>
    <n v="130000"/>
    <n v="4"/>
    <x v="2"/>
    <x v="4"/>
    <s v="No"/>
    <n v="4"/>
    <x v="4"/>
    <x v="0"/>
    <n v="58"/>
    <x v="0"/>
    <x v="0"/>
  </r>
  <r>
    <n v="15799"/>
    <x v="0"/>
    <x v="0"/>
    <n v="90000"/>
    <n v="1"/>
    <x v="0"/>
    <x v="2"/>
    <s v="Yes"/>
    <n v="1"/>
    <x v="1"/>
    <x v="1"/>
    <n v="47"/>
    <x v="0"/>
    <x v="1"/>
  </r>
  <r>
    <n v="11047"/>
    <x v="0"/>
    <x v="0"/>
    <n v="30000"/>
    <n v="3"/>
    <x v="2"/>
    <x v="0"/>
    <s v="No"/>
    <n v="2"/>
    <x v="3"/>
    <x v="1"/>
    <n v="56"/>
    <x v="0"/>
    <x v="1"/>
  </r>
  <r>
    <n v="18151"/>
    <x v="1"/>
    <x v="1"/>
    <n v="80000"/>
    <n v="5"/>
    <x v="1"/>
    <x v="2"/>
    <s v="No"/>
    <n v="2"/>
    <x v="4"/>
    <x v="0"/>
    <n v="59"/>
    <x v="0"/>
    <x v="0"/>
  </r>
  <r>
    <n v="20606"/>
    <x v="0"/>
    <x v="0"/>
    <n v="70000"/>
    <n v="0"/>
    <x v="0"/>
    <x v="2"/>
    <s v="Yes"/>
    <n v="4"/>
    <x v="4"/>
    <x v="1"/>
    <n v="32"/>
    <x v="0"/>
    <x v="1"/>
  </r>
  <r>
    <n v="19482"/>
    <x v="0"/>
    <x v="1"/>
    <n v="30000"/>
    <n v="1"/>
    <x v="1"/>
    <x v="1"/>
    <s v="Yes"/>
    <n v="1"/>
    <x v="0"/>
    <x v="0"/>
    <n v="44"/>
    <x v="0"/>
    <x v="1"/>
  </r>
  <r>
    <n v="16489"/>
    <x v="0"/>
    <x v="1"/>
    <n v="30000"/>
    <n v="3"/>
    <x v="2"/>
    <x v="0"/>
    <s v="Yes"/>
    <n v="2"/>
    <x v="2"/>
    <x v="1"/>
    <n v="55"/>
    <x v="0"/>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0"/>
    <x v="0"/>
  </r>
  <r>
    <n v="22830"/>
    <x v="0"/>
    <x v="1"/>
    <n v="120000"/>
    <n v="4"/>
    <x v="1"/>
    <x v="4"/>
    <s v="Yes"/>
    <n v="3"/>
    <x v="4"/>
    <x v="0"/>
    <n v="56"/>
    <x v="0"/>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0"/>
    <x v="0"/>
  </r>
  <r>
    <n v="12666"/>
    <x v="1"/>
    <x v="1"/>
    <n v="60000"/>
    <n v="0"/>
    <x v="0"/>
    <x v="2"/>
    <s v="No"/>
    <n v="4"/>
    <x v="1"/>
    <x v="1"/>
    <n v="31"/>
    <x v="0"/>
    <x v="0"/>
  </r>
  <r>
    <n v="20598"/>
    <x v="0"/>
    <x v="1"/>
    <n v="100000"/>
    <n v="3"/>
    <x v="3"/>
    <x v="2"/>
    <s v="Yes"/>
    <n v="0"/>
    <x v="4"/>
    <x v="0"/>
    <n v="59"/>
    <x v="0"/>
    <x v="1"/>
  </r>
  <r>
    <n v="21375"/>
    <x v="1"/>
    <x v="1"/>
    <n v="20000"/>
    <n v="2"/>
    <x v="3"/>
    <x v="1"/>
    <s v="Yes"/>
    <n v="2"/>
    <x v="2"/>
    <x v="1"/>
    <n v="57"/>
    <x v="0"/>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0"/>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0"/>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0"/>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0"/>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0"/>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0"/>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0"/>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0"/>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0"/>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0"/>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0"/>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0"/>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0"/>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0"/>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0"/>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0"/>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0"/>
    <x v="0"/>
  </r>
  <r>
    <n v="18752"/>
    <x v="1"/>
    <x v="0"/>
    <n v="40000"/>
    <n v="0"/>
    <x v="2"/>
    <x v="0"/>
    <s v="Yes"/>
    <n v="1"/>
    <x v="2"/>
    <x v="2"/>
    <n v="31"/>
    <x v="0"/>
    <x v="0"/>
  </r>
  <r>
    <n v="16917"/>
    <x v="0"/>
    <x v="1"/>
    <n v="120000"/>
    <n v="1"/>
    <x v="0"/>
    <x v="4"/>
    <s v="Yes"/>
    <n v="4"/>
    <x v="0"/>
    <x v="2"/>
    <n v="38"/>
    <x v="0"/>
    <x v="0"/>
  </r>
  <r>
    <n v="15313"/>
    <x v="0"/>
    <x v="1"/>
    <n v="60000"/>
    <n v="4"/>
    <x v="0"/>
    <x v="4"/>
    <s v="Yes"/>
    <n v="2"/>
    <x v="1"/>
    <x v="2"/>
    <n v="59"/>
    <x v="0"/>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0"/>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0"/>
    <x v="1"/>
  </r>
  <r>
    <n v="24398"/>
    <x v="0"/>
    <x v="1"/>
    <n v="130000"/>
    <n v="1"/>
    <x v="4"/>
    <x v="4"/>
    <s v="Yes"/>
    <n v="4"/>
    <x v="0"/>
    <x v="2"/>
    <n v="41"/>
    <x v="0"/>
    <x v="0"/>
  </r>
  <r>
    <n v="19002"/>
    <x v="0"/>
    <x v="0"/>
    <n v="60000"/>
    <n v="2"/>
    <x v="1"/>
    <x v="2"/>
    <s v="Yes"/>
    <n v="1"/>
    <x v="1"/>
    <x v="2"/>
    <n v="57"/>
    <x v="0"/>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0"/>
    <x v="0"/>
  </r>
  <r>
    <n v="25101"/>
    <x v="0"/>
    <x v="1"/>
    <n v="60000"/>
    <n v="5"/>
    <x v="0"/>
    <x v="2"/>
    <s v="Yes"/>
    <n v="1"/>
    <x v="1"/>
    <x v="2"/>
    <n v="47"/>
    <x v="0"/>
    <x v="0"/>
  </r>
  <r>
    <n v="21801"/>
    <x v="0"/>
    <x v="0"/>
    <n v="70000"/>
    <n v="4"/>
    <x v="1"/>
    <x v="2"/>
    <s v="Yes"/>
    <n v="1"/>
    <x v="3"/>
    <x v="2"/>
    <n v="55"/>
    <x v="0"/>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0"/>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0"/>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0"/>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0"/>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0"/>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0"/>
    <x v="0"/>
  </r>
  <r>
    <n v="23358"/>
    <x v="0"/>
    <x v="1"/>
    <n v="60000"/>
    <n v="0"/>
    <x v="2"/>
    <x v="2"/>
    <s v="Yes"/>
    <n v="2"/>
    <x v="2"/>
    <x v="2"/>
    <n v="32"/>
    <x v="0"/>
    <x v="1"/>
  </r>
  <r>
    <n v="20518"/>
    <x v="0"/>
    <x v="0"/>
    <n v="70000"/>
    <n v="2"/>
    <x v="1"/>
    <x v="2"/>
    <s v="Yes"/>
    <n v="1"/>
    <x v="4"/>
    <x v="2"/>
    <n v="58"/>
    <x v="0"/>
    <x v="0"/>
  </r>
  <r>
    <n v="28026"/>
    <x v="0"/>
    <x v="0"/>
    <n v="40000"/>
    <n v="2"/>
    <x v="2"/>
    <x v="2"/>
    <s v="No"/>
    <n v="2"/>
    <x v="1"/>
    <x v="2"/>
    <n v="59"/>
    <x v="0"/>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0"/>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0"/>
    <x v="0"/>
  </r>
  <r>
    <n v="12452"/>
    <x v="0"/>
    <x v="1"/>
    <n v="60000"/>
    <n v="4"/>
    <x v="4"/>
    <x v="0"/>
    <s v="Yes"/>
    <n v="0"/>
    <x v="3"/>
    <x v="2"/>
    <n v="47"/>
    <x v="0"/>
    <x v="1"/>
  </r>
  <r>
    <n v="28043"/>
    <x v="0"/>
    <x v="0"/>
    <n v="60000"/>
    <n v="2"/>
    <x v="0"/>
    <x v="4"/>
    <s v="Yes"/>
    <n v="0"/>
    <x v="4"/>
    <x v="2"/>
    <n v="56"/>
    <x v="0"/>
    <x v="0"/>
  </r>
  <r>
    <n v="12957"/>
    <x v="1"/>
    <x v="0"/>
    <n v="70000"/>
    <n v="1"/>
    <x v="0"/>
    <x v="2"/>
    <s v="No"/>
    <n v="1"/>
    <x v="0"/>
    <x v="2"/>
    <n v="44"/>
    <x v="0"/>
    <x v="0"/>
  </r>
  <r>
    <n v="15412"/>
    <x v="0"/>
    <x v="1"/>
    <n v="130000"/>
    <n v="2"/>
    <x v="4"/>
    <x v="4"/>
    <s v="Yes"/>
    <n v="3"/>
    <x v="1"/>
    <x v="2"/>
    <n v="69"/>
    <x v="1"/>
    <x v="0"/>
  </r>
  <r>
    <n v="20514"/>
    <x v="0"/>
    <x v="0"/>
    <n v="70000"/>
    <n v="2"/>
    <x v="1"/>
    <x v="2"/>
    <s v="Yes"/>
    <n v="1"/>
    <x v="1"/>
    <x v="2"/>
    <n v="59"/>
    <x v="0"/>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0"/>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0"/>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0"/>
    <x v="1"/>
  </r>
  <r>
    <n v="13313"/>
    <x v="0"/>
    <x v="0"/>
    <n v="120000"/>
    <n v="1"/>
    <x v="2"/>
    <x v="2"/>
    <s v="No"/>
    <n v="4"/>
    <x v="1"/>
    <x v="2"/>
    <n v="45"/>
    <x v="0"/>
    <x v="0"/>
  </r>
  <r>
    <n v="18952"/>
    <x v="0"/>
    <x v="0"/>
    <n v="100000"/>
    <n v="4"/>
    <x v="0"/>
    <x v="4"/>
    <s v="Yes"/>
    <n v="4"/>
    <x v="0"/>
    <x v="2"/>
    <n v="40"/>
    <x v="0"/>
    <x v="0"/>
  </r>
  <r>
    <n v="17699"/>
    <x v="0"/>
    <x v="1"/>
    <n v="60000"/>
    <n v="1"/>
    <x v="4"/>
    <x v="0"/>
    <s v="No"/>
    <n v="0"/>
    <x v="0"/>
    <x v="2"/>
    <n v="55"/>
    <x v="0"/>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0"/>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0"/>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0"/>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0"/>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0"/>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0"/>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0"/>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0"/>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0"/>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0"/>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0"/>
    <x v="0"/>
  </r>
  <r>
    <n v="16007"/>
    <x v="0"/>
    <x v="0"/>
    <n v="90000"/>
    <n v="5"/>
    <x v="0"/>
    <x v="4"/>
    <s v="Yes"/>
    <n v="2"/>
    <x v="3"/>
    <x v="2"/>
    <n v="66"/>
    <x v="1"/>
    <x v="1"/>
  </r>
  <r>
    <n v="27434"/>
    <x v="1"/>
    <x v="1"/>
    <n v="70000"/>
    <n v="4"/>
    <x v="1"/>
    <x v="2"/>
    <s v="Yes"/>
    <n v="1"/>
    <x v="4"/>
    <x v="2"/>
    <n v="56"/>
    <x v="0"/>
    <x v="0"/>
  </r>
  <r>
    <n v="27756"/>
    <x v="1"/>
    <x v="0"/>
    <n v="50000"/>
    <n v="3"/>
    <x v="0"/>
    <x v="0"/>
    <s v="No"/>
    <n v="1"/>
    <x v="0"/>
    <x v="2"/>
    <n v="40"/>
    <x v="0"/>
    <x v="0"/>
  </r>
  <r>
    <n v="23818"/>
    <x v="0"/>
    <x v="0"/>
    <n v="50000"/>
    <n v="0"/>
    <x v="4"/>
    <x v="0"/>
    <s v="Yes"/>
    <n v="0"/>
    <x v="3"/>
    <x v="2"/>
    <n v="33"/>
    <x v="0"/>
    <x v="1"/>
  </r>
  <r>
    <n v="19012"/>
    <x v="0"/>
    <x v="1"/>
    <n v="80000"/>
    <n v="3"/>
    <x v="0"/>
    <x v="4"/>
    <s v="Yes"/>
    <n v="1"/>
    <x v="3"/>
    <x v="2"/>
    <n v="56"/>
    <x v="0"/>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F9FBF3-CD4C-42D1-8B97-A4188AA201A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2:D47"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x="4"/>
        <item x="2"/>
        <item x="1"/>
        <item x="3"/>
        <item t="default"/>
      </items>
    </pivotField>
    <pivotField showAll="0">
      <items count="6">
        <item x="1"/>
        <item h="1" x="4"/>
        <item h="1" x="3"/>
        <item h="1" x="2"/>
        <item h="1" x="0"/>
        <item t="default"/>
      </items>
    </pivotField>
    <pivotField showAll="0"/>
    <pivotField showAll="0"/>
    <pivotField showAll="0"/>
    <pivotField showAll="0">
      <items count="4">
        <item x="0"/>
        <item x="2"/>
        <item x="1"/>
        <item t="default"/>
      </items>
    </pivotField>
    <pivotField showAll="0"/>
    <pivotField axis="axisRow" showAll="0">
      <items count="7">
        <item x="2"/>
        <item x="0"/>
        <item x="1"/>
        <item m="1" x="3"/>
        <item m="1" x="4"/>
        <item m="1" x="5"/>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C0C613-DD25-4B19-9BA1-9297D99A16F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D30" firstHeaderRow="1" firstDataRow="2" firstDataCol="1"/>
  <pivotFields count="14">
    <pivotField showAll="0"/>
    <pivotField showAll="0">
      <items count="3">
        <item x="0"/>
        <item h="1" x="1"/>
        <item t="default"/>
      </items>
    </pivotField>
    <pivotField showAll="0"/>
    <pivotField numFmtId="166" showAll="0"/>
    <pivotField showAll="0"/>
    <pivotField showAll="0">
      <items count="6">
        <item x="0"/>
        <item x="4"/>
        <item x="2"/>
        <item x="1"/>
        <item x="3"/>
        <item t="default"/>
      </items>
    </pivotField>
    <pivotField showAll="0">
      <items count="6">
        <item x="1"/>
        <item h="1" x="4"/>
        <item h="1" x="3"/>
        <item h="1" x="2"/>
        <item h="1"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5">
    <i>
      <x/>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658A9A-0391-451E-BFD3-13DB93EF88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D8"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items count="6">
        <item x="1"/>
        <item h="1" x="4"/>
        <item h="1" x="3"/>
        <item h="1" x="2"/>
        <item h="1"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21" format="5" series="1">
      <pivotArea type="data" outline="0" fieldPosition="0">
        <references count="2">
          <reference field="4294967294" count="1" selected="0">
            <x v="0"/>
          </reference>
          <reference field="13" count="1" selected="0">
            <x v="0"/>
          </reference>
        </references>
      </pivotArea>
    </chartFormat>
    <chartFormat chart="21" format="6" series="1">
      <pivotArea type="data" outline="0" fieldPosition="0">
        <references count="2">
          <reference field="4294967294" count="1" selected="0">
            <x v="0"/>
          </reference>
          <reference field="13" count="1" selected="0">
            <x v="1"/>
          </reference>
        </references>
      </pivotArea>
    </chartFormat>
    <chartFormat chart="2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95AB87A-3FCA-49AD-BBCF-27600B26B68D}" sourceName="Marital Status">
  <pivotTables>
    <pivotTable tabId="3" name="PivotTable1"/>
    <pivotTable tabId="3" name="PivotTable2"/>
    <pivotTable tabId="3" name="PivotTable5"/>
  </pivotTables>
  <data>
    <tabular pivotCacheId="90355745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7EFF58-2751-4310-9686-2C1997FF8558}" sourceName="Region">
  <pivotTables>
    <pivotTable tabId="3" name="PivotTable5"/>
    <pivotTable tabId="3" name="PivotTable1"/>
    <pivotTable tabId="3" name="PivotTable2"/>
  </pivotTables>
  <data>
    <tabular pivotCacheId="90355745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B56370C-CAF5-4B3A-A153-23A5D851F7D6}" sourceName="Education">
  <pivotTables>
    <pivotTable tabId="3" name="PivotTable2"/>
    <pivotTable tabId="3" name="PivotTable1"/>
    <pivotTable tabId="3" name="PivotTable5"/>
  </pivotTables>
  <data>
    <tabular pivotCacheId="903557455">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6FC8F1EF-C0F8-4415-AAD4-AFB4ABDA9302}" sourceName="Occupation">
  <pivotTables>
    <pivotTable tabId="3" name="PivotTable1"/>
    <pivotTable tabId="3" name="PivotTable2"/>
    <pivotTable tabId="3" name="PivotTable5"/>
  </pivotTables>
  <data>
    <tabular pivotCacheId="903557455">
      <items count="5">
        <i x="1" s="1"/>
        <i x="4"/>
        <i x="3"/>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83A4E8B-F14B-4863-A795-EE815F9D4788}" cache="Slicer_Marital_Status" caption="Marital Status" rowHeight="234950"/>
  <slicer name="Region" xr10:uid="{41FF4123-117E-4A47-9A8C-4A10C5B36DF5}" cache="Slicer_Region" caption="Region" startItem="1" rowHeight="234950"/>
  <slicer name="Education" xr10:uid="{E89BD535-4834-4DC6-8026-9954D07837BD}" cache="Slicer_Education" caption="Education" startItem="1" rowHeight="234950"/>
  <slicer name="Occupation" xr10:uid="{7256A7AE-B07E-4178-8030-1DA418E81479}" cache="Slicer_Occupation" caption="Occup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7"/>
  <sheetViews>
    <sheetView workbookViewId="0">
      <selection activeCell="O8" sqref="O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5" x14ac:dyDescent="0.3">
      <c r="A17">
        <v>20870</v>
      </c>
      <c r="B17" t="s">
        <v>35</v>
      </c>
      <c r="C17" t="s">
        <v>33</v>
      </c>
      <c r="D17" s="1">
        <v>10000</v>
      </c>
      <c r="E17">
        <v>2</v>
      </c>
      <c r="F17" t="s">
        <v>27</v>
      </c>
      <c r="G17" t="s">
        <v>25</v>
      </c>
      <c r="H17" t="s">
        <v>15</v>
      </c>
      <c r="I17">
        <v>1</v>
      </c>
      <c r="J17" t="s">
        <v>16</v>
      </c>
      <c r="K17" t="s">
        <v>17</v>
      </c>
      <c r="L17">
        <v>38</v>
      </c>
      <c r="M17" t="s">
        <v>15</v>
      </c>
    </row>
    <row r="18" spans="1:15" x14ac:dyDescent="0.3">
      <c r="A18">
        <v>23316</v>
      </c>
      <c r="B18" t="s">
        <v>35</v>
      </c>
      <c r="C18" t="s">
        <v>34</v>
      </c>
      <c r="D18" s="1">
        <v>30000</v>
      </c>
      <c r="E18">
        <v>3</v>
      </c>
      <c r="F18" t="s">
        <v>19</v>
      </c>
      <c r="G18" t="s">
        <v>20</v>
      </c>
      <c r="H18" t="s">
        <v>18</v>
      </c>
      <c r="I18">
        <v>2</v>
      </c>
      <c r="J18" t="s">
        <v>26</v>
      </c>
      <c r="K18" t="s">
        <v>24</v>
      </c>
      <c r="L18">
        <v>59</v>
      </c>
      <c r="M18" t="s">
        <v>15</v>
      </c>
    </row>
    <row r="19" spans="1:15" x14ac:dyDescent="0.3">
      <c r="A19">
        <v>12610</v>
      </c>
      <c r="B19" t="s">
        <v>34</v>
      </c>
      <c r="C19" t="s">
        <v>33</v>
      </c>
      <c r="D19" s="1">
        <v>30000</v>
      </c>
      <c r="E19">
        <v>1</v>
      </c>
      <c r="F19" t="s">
        <v>13</v>
      </c>
      <c r="G19" t="s">
        <v>20</v>
      </c>
      <c r="H19" t="s">
        <v>15</v>
      </c>
      <c r="I19">
        <v>0</v>
      </c>
      <c r="J19" t="s">
        <v>16</v>
      </c>
      <c r="K19" t="s">
        <v>17</v>
      </c>
      <c r="L19">
        <v>47</v>
      </c>
      <c r="M19" t="s">
        <v>18</v>
      </c>
      <c r="O19" s="8"/>
    </row>
    <row r="20" spans="1:15" x14ac:dyDescent="0.3">
      <c r="A20">
        <v>27183</v>
      </c>
      <c r="B20" t="s">
        <v>35</v>
      </c>
      <c r="C20" t="s">
        <v>34</v>
      </c>
      <c r="D20" s="1">
        <v>40000</v>
      </c>
      <c r="E20">
        <v>2</v>
      </c>
      <c r="F20" t="s">
        <v>19</v>
      </c>
      <c r="G20" t="s">
        <v>20</v>
      </c>
      <c r="H20" t="s">
        <v>15</v>
      </c>
      <c r="I20">
        <v>1</v>
      </c>
      <c r="J20" t="s">
        <v>26</v>
      </c>
      <c r="K20" t="s">
        <v>17</v>
      </c>
      <c r="L20">
        <v>35</v>
      </c>
      <c r="M20" t="s">
        <v>15</v>
      </c>
    </row>
    <row r="21" spans="1:15" x14ac:dyDescent="0.3">
      <c r="A21">
        <v>25940</v>
      </c>
      <c r="B21" t="s">
        <v>35</v>
      </c>
      <c r="C21" t="s">
        <v>34</v>
      </c>
      <c r="D21" s="1">
        <v>20000</v>
      </c>
      <c r="E21">
        <v>2</v>
      </c>
      <c r="F21" t="s">
        <v>29</v>
      </c>
      <c r="G21" t="s">
        <v>20</v>
      </c>
      <c r="H21" t="s">
        <v>15</v>
      </c>
      <c r="I21">
        <v>2</v>
      </c>
      <c r="J21" t="s">
        <v>23</v>
      </c>
      <c r="K21" t="s">
        <v>24</v>
      </c>
      <c r="L21">
        <v>55</v>
      </c>
      <c r="M21" t="s">
        <v>15</v>
      </c>
    </row>
    <row r="22" spans="1:15" x14ac:dyDescent="0.3">
      <c r="A22">
        <v>25598</v>
      </c>
      <c r="B22" t="s">
        <v>34</v>
      </c>
      <c r="C22" t="s">
        <v>33</v>
      </c>
      <c r="D22" s="1">
        <v>40000</v>
      </c>
      <c r="E22">
        <v>0</v>
      </c>
      <c r="F22" t="s">
        <v>31</v>
      </c>
      <c r="G22" t="s">
        <v>20</v>
      </c>
      <c r="H22" t="s">
        <v>15</v>
      </c>
      <c r="I22">
        <v>0</v>
      </c>
      <c r="J22" t="s">
        <v>16</v>
      </c>
      <c r="K22" t="s">
        <v>17</v>
      </c>
      <c r="L22">
        <v>36</v>
      </c>
      <c r="M22" t="s">
        <v>15</v>
      </c>
    </row>
    <row r="23" spans="1:15" x14ac:dyDescent="0.3">
      <c r="A23">
        <v>21564</v>
      </c>
      <c r="B23" t="s">
        <v>35</v>
      </c>
      <c r="C23" t="s">
        <v>33</v>
      </c>
      <c r="D23" s="1">
        <v>80000</v>
      </c>
      <c r="E23">
        <v>0</v>
      </c>
      <c r="F23" t="s">
        <v>13</v>
      </c>
      <c r="G23" t="s">
        <v>21</v>
      </c>
      <c r="H23" t="s">
        <v>15</v>
      </c>
      <c r="I23">
        <v>4</v>
      </c>
      <c r="J23" t="s">
        <v>30</v>
      </c>
      <c r="K23" t="s">
        <v>24</v>
      </c>
      <c r="L23">
        <v>35</v>
      </c>
      <c r="M23" t="s">
        <v>18</v>
      </c>
    </row>
    <row r="24" spans="1:15" x14ac:dyDescent="0.3">
      <c r="A24">
        <v>19193</v>
      </c>
      <c r="B24" t="s">
        <v>35</v>
      </c>
      <c r="C24" t="s">
        <v>34</v>
      </c>
      <c r="D24" s="1">
        <v>40000</v>
      </c>
      <c r="E24">
        <v>2</v>
      </c>
      <c r="F24" t="s">
        <v>19</v>
      </c>
      <c r="G24" t="s">
        <v>20</v>
      </c>
      <c r="H24" t="s">
        <v>15</v>
      </c>
      <c r="I24">
        <v>0</v>
      </c>
      <c r="J24" t="s">
        <v>26</v>
      </c>
      <c r="K24" t="s">
        <v>17</v>
      </c>
      <c r="L24">
        <v>35</v>
      </c>
      <c r="M24" t="s">
        <v>15</v>
      </c>
    </row>
    <row r="25" spans="1:15" x14ac:dyDescent="0.3">
      <c r="A25">
        <v>26412</v>
      </c>
      <c r="B25" t="s">
        <v>34</v>
      </c>
      <c r="C25" t="s">
        <v>33</v>
      </c>
      <c r="D25" s="1">
        <v>80000</v>
      </c>
      <c r="E25">
        <v>5</v>
      </c>
      <c r="F25" t="s">
        <v>27</v>
      </c>
      <c r="G25" t="s">
        <v>28</v>
      </c>
      <c r="H25" t="s">
        <v>18</v>
      </c>
      <c r="I25">
        <v>3</v>
      </c>
      <c r="J25" t="s">
        <v>23</v>
      </c>
      <c r="K25" t="s">
        <v>17</v>
      </c>
      <c r="L25">
        <v>56</v>
      </c>
      <c r="M25" t="s">
        <v>18</v>
      </c>
    </row>
    <row r="26" spans="1:15" x14ac:dyDescent="0.3">
      <c r="A26">
        <v>27184</v>
      </c>
      <c r="B26" t="s">
        <v>35</v>
      </c>
      <c r="C26" t="s">
        <v>34</v>
      </c>
      <c r="D26" s="1">
        <v>40000</v>
      </c>
      <c r="E26">
        <v>2</v>
      </c>
      <c r="F26" t="s">
        <v>19</v>
      </c>
      <c r="G26" t="s">
        <v>20</v>
      </c>
      <c r="H26" t="s">
        <v>18</v>
      </c>
      <c r="I26">
        <v>1</v>
      </c>
      <c r="J26" t="s">
        <v>16</v>
      </c>
      <c r="K26" t="s">
        <v>17</v>
      </c>
      <c r="L26">
        <v>34</v>
      </c>
      <c r="M26" t="s">
        <v>18</v>
      </c>
    </row>
    <row r="27" spans="1:15" x14ac:dyDescent="0.3">
      <c r="A27">
        <v>12590</v>
      </c>
      <c r="B27" t="s">
        <v>35</v>
      </c>
      <c r="C27" t="s">
        <v>34</v>
      </c>
      <c r="D27" s="1">
        <v>30000</v>
      </c>
      <c r="E27">
        <v>1</v>
      </c>
      <c r="F27" t="s">
        <v>13</v>
      </c>
      <c r="G27" t="s">
        <v>20</v>
      </c>
      <c r="H27" t="s">
        <v>15</v>
      </c>
      <c r="I27">
        <v>0</v>
      </c>
      <c r="J27" t="s">
        <v>16</v>
      </c>
      <c r="K27" t="s">
        <v>17</v>
      </c>
      <c r="L27">
        <v>63</v>
      </c>
      <c r="M27" t="s">
        <v>18</v>
      </c>
    </row>
    <row r="28" spans="1:15" x14ac:dyDescent="0.3">
      <c r="A28">
        <v>17841</v>
      </c>
      <c r="B28" t="s">
        <v>35</v>
      </c>
      <c r="C28" t="s">
        <v>34</v>
      </c>
      <c r="D28" s="1">
        <v>30000</v>
      </c>
      <c r="E28">
        <v>0</v>
      </c>
      <c r="F28" t="s">
        <v>19</v>
      </c>
      <c r="G28" t="s">
        <v>20</v>
      </c>
      <c r="H28" t="s">
        <v>18</v>
      </c>
      <c r="I28">
        <v>1</v>
      </c>
      <c r="J28" t="s">
        <v>16</v>
      </c>
      <c r="K28" t="s">
        <v>17</v>
      </c>
      <c r="L28">
        <v>29</v>
      </c>
      <c r="M28" t="s">
        <v>15</v>
      </c>
    </row>
    <row r="29" spans="1:15" x14ac:dyDescent="0.3">
      <c r="A29">
        <v>18283</v>
      </c>
      <c r="B29" t="s">
        <v>35</v>
      </c>
      <c r="C29" t="s">
        <v>33</v>
      </c>
      <c r="D29" s="1">
        <v>100000</v>
      </c>
      <c r="E29">
        <v>0</v>
      </c>
      <c r="F29" t="s">
        <v>13</v>
      </c>
      <c r="G29" t="s">
        <v>21</v>
      </c>
      <c r="H29" t="s">
        <v>18</v>
      </c>
      <c r="I29">
        <v>1</v>
      </c>
      <c r="J29" t="s">
        <v>23</v>
      </c>
      <c r="K29" t="s">
        <v>24</v>
      </c>
      <c r="L29">
        <v>40</v>
      </c>
      <c r="M29" t="s">
        <v>18</v>
      </c>
    </row>
    <row r="30" spans="1:15" x14ac:dyDescent="0.3">
      <c r="A30">
        <v>18299</v>
      </c>
      <c r="B30" t="s">
        <v>34</v>
      </c>
      <c r="C30" t="s">
        <v>34</v>
      </c>
      <c r="D30" s="1">
        <v>70000</v>
      </c>
      <c r="E30">
        <v>5</v>
      </c>
      <c r="F30" t="s">
        <v>19</v>
      </c>
      <c r="G30" t="s">
        <v>14</v>
      </c>
      <c r="H30" t="s">
        <v>15</v>
      </c>
      <c r="I30">
        <v>2</v>
      </c>
      <c r="J30" t="s">
        <v>23</v>
      </c>
      <c r="K30" t="s">
        <v>24</v>
      </c>
      <c r="L30">
        <v>44</v>
      </c>
      <c r="M30" t="s">
        <v>18</v>
      </c>
    </row>
    <row r="31" spans="1:15" x14ac:dyDescent="0.3">
      <c r="A31">
        <v>16466</v>
      </c>
      <c r="B31" t="s">
        <v>35</v>
      </c>
      <c r="C31" t="s">
        <v>33</v>
      </c>
      <c r="D31" s="1">
        <v>20000</v>
      </c>
      <c r="E31">
        <v>0</v>
      </c>
      <c r="F31" t="s">
        <v>29</v>
      </c>
      <c r="G31" t="s">
        <v>25</v>
      </c>
      <c r="H31" t="s">
        <v>18</v>
      </c>
      <c r="I31">
        <v>2</v>
      </c>
      <c r="J31" t="s">
        <v>16</v>
      </c>
      <c r="K31" t="s">
        <v>17</v>
      </c>
      <c r="L31">
        <v>32</v>
      </c>
      <c r="M31" t="s">
        <v>15</v>
      </c>
    </row>
    <row r="32" spans="1:15"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0B6D-DD5E-4309-A48C-E9EFA891CC5C}">
  <dimension ref="A1:N1001"/>
  <sheetViews>
    <sheetView tabSelected="1" topLeftCell="A986" workbookViewId="0">
      <selection activeCell="M1003" sqref="M1003"/>
    </sheetView>
  </sheetViews>
  <sheetFormatPr defaultRowHeight="14.4" x14ac:dyDescent="0.3"/>
  <cols>
    <col min="4" max="4" width="11.5546875" style="4"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4">
        <v>40000</v>
      </c>
      <c r="E2">
        <v>1</v>
      </c>
      <c r="F2" t="s">
        <v>13</v>
      </c>
      <c r="G2" t="s">
        <v>14</v>
      </c>
      <c r="H2" t="s">
        <v>15</v>
      </c>
      <c r="I2">
        <v>0</v>
      </c>
      <c r="J2" t="s">
        <v>16</v>
      </c>
      <c r="K2" t="s">
        <v>17</v>
      </c>
      <c r="L2">
        <v>42</v>
      </c>
      <c r="M2" t="str">
        <f>IF(L2&gt;59,"Old",IF(L2&gt;=31,"Middle Age",IF(L2&lt;31,"Adolscent","Invalid")))</f>
        <v>Middle Age</v>
      </c>
      <c r="N2" t="s">
        <v>18</v>
      </c>
    </row>
    <row r="3" spans="1:14" x14ac:dyDescent="0.3">
      <c r="A3">
        <v>24107</v>
      </c>
      <c r="B3" t="s">
        <v>36</v>
      </c>
      <c r="C3" t="s">
        <v>39</v>
      </c>
      <c r="D3" s="4">
        <v>30000</v>
      </c>
      <c r="E3">
        <v>3</v>
      </c>
      <c r="F3" t="s">
        <v>19</v>
      </c>
      <c r="G3" t="s">
        <v>20</v>
      </c>
      <c r="H3" t="s">
        <v>15</v>
      </c>
      <c r="I3">
        <v>1</v>
      </c>
      <c r="J3" t="s">
        <v>16</v>
      </c>
      <c r="K3" t="s">
        <v>17</v>
      </c>
      <c r="L3">
        <v>43</v>
      </c>
      <c r="M3" t="str">
        <f t="shared" ref="M3:M66" si="0">IF(L3&gt;59,"Old",IF(L3&gt;=31,"Middle Age",IF(L3&lt;31,"Adolscent","Invalid")))</f>
        <v>Middle Age</v>
      </c>
      <c r="N3" t="s">
        <v>18</v>
      </c>
    </row>
    <row r="4" spans="1:14" x14ac:dyDescent="0.3">
      <c r="A4">
        <v>14177</v>
      </c>
      <c r="B4" t="s">
        <v>36</v>
      </c>
      <c r="C4" t="s">
        <v>39</v>
      </c>
      <c r="D4" s="4">
        <v>80000</v>
      </c>
      <c r="E4">
        <v>5</v>
      </c>
      <c r="F4" t="s">
        <v>19</v>
      </c>
      <c r="G4" t="s">
        <v>21</v>
      </c>
      <c r="H4" t="s">
        <v>18</v>
      </c>
      <c r="I4">
        <v>2</v>
      </c>
      <c r="J4" t="s">
        <v>22</v>
      </c>
      <c r="K4" t="s">
        <v>17</v>
      </c>
      <c r="L4">
        <v>60</v>
      </c>
      <c r="M4" t="str">
        <f t="shared" si="0"/>
        <v>Old</v>
      </c>
      <c r="N4" t="s">
        <v>18</v>
      </c>
    </row>
    <row r="5" spans="1:14" x14ac:dyDescent="0.3">
      <c r="A5">
        <v>24381</v>
      </c>
      <c r="B5" t="s">
        <v>37</v>
      </c>
      <c r="C5" t="s">
        <v>39</v>
      </c>
      <c r="D5" s="4">
        <v>70000</v>
      </c>
      <c r="E5">
        <v>0</v>
      </c>
      <c r="F5" t="s">
        <v>13</v>
      </c>
      <c r="G5" t="s">
        <v>21</v>
      </c>
      <c r="H5" t="s">
        <v>15</v>
      </c>
      <c r="I5">
        <v>1</v>
      </c>
      <c r="J5" t="s">
        <v>23</v>
      </c>
      <c r="K5" t="s">
        <v>24</v>
      </c>
      <c r="L5">
        <v>41</v>
      </c>
      <c r="M5" t="str">
        <f t="shared" si="0"/>
        <v>Middle Age</v>
      </c>
      <c r="N5" t="s">
        <v>15</v>
      </c>
    </row>
    <row r="6" spans="1:14" x14ac:dyDescent="0.3">
      <c r="A6">
        <v>25597</v>
      </c>
      <c r="B6" t="s">
        <v>37</v>
      </c>
      <c r="C6" t="s">
        <v>39</v>
      </c>
      <c r="D6" s="4">
        <v>30000</v>
      </c>
      <c r="E6">
        <v>0</v>
      </c>
      <c r="F6" t="s">
        <v>13</v>
      </c>
      <c r="G6" t="s">
        <v>20</v>
      </c>
      <c r="H6" t="s">
        <v>18</v>
      </c>
      <c r="I6">
        <v>0</v>
      </c>
      <c r="J6" t="s">
        <v>16</v>
      </c>
      <c r="K6" t="s">
        <v>17</v>
      </c>
      <c r="L6">
        <v>36</v>
      </c>
      <c r="M6" t="str">
        <f t="shared" si="0"/>
        <v>Middle Age</v>
      </c>
      <c r="N6" t="s">
        <v>15</v>
      </c>
    </row>
    <row r="7" spans="1:14" x14ac:dyDescent="0.3">
      <c r="A7">
        <v>13507</v>
      </c>
      <c r="B7" t="s">
        <v>36</v>
      </c>
      <c r="C7" t="s">
        <v>38</v>
      </c>
      <c r="D7" s="4">
        <v>10000</v>
      </c>
      <c r="E7">
        <v>2</v>
      </c>
      <c r="F7" t="s">
        <v>19</v>
      </c>
      <c r="G7" t="s">
        <v>25</v>
      </c>
      <c r="H7" t="s">
        <v>15</v>
      </c>
      <c r="I7">
        <v>0</v>
      </c>
      <c r="J7" t="s">
        <v>26</v>
      </c>
      <c r="K7" t="s">
        <v>17</v>
      </c>
      <c r="L7">
        <v>50</v>
      </c>
      <c r="M7" t="str">
        <f t="shared" si="0"/>
        <v>Middle Age</v>
      </c>
      <c r="N7" t="s">
        <v>18</v>
      </c>
    </row>
    <row r="8" spans="1:14" x14ac:dyDescent="0.3">
      <c r="A8">
        <v>27974</v>
      </c>
      <c r="B8" t="s">
        <v>37</v>
      </c>
      <c r="C8" t="s">
        <v>39</v>
      </c>
      <c r="D8" s="4">
        <v>160000</v>
      </c>
      <c r="E8">
        <v>2</v>
      </c>
      <c r="F8" t="s">
        <v>27</v>
      </c>
      <c r="G8" t="s">
        <v>28</v>
      </c>
      <c r="H8" t="s">
        <v>15</v>
      </c>
      <c r="I8">
        <v>4</v>
      </c>
      <c r="J8" t="s">
        <v>16</v>
      </c>
      <c r="K8" t="s">
        <v>24</v>
      </c>
      <c r="L8">
        <v>33</v>
      </c>
      <c r="M8" t="str">
        <f t="shared" si="0"/>
        <v>Middle Age</v>
      </c>
      <c r="N8" t="s">
        <v>15</v>
      </c>
    </row>
    <row r="9" spans="1:14" x14ac:dyDescent="0.3">
      <c r="A9">
        <v>19364</v>
      </c>
      <c r="B9" t="s">
        <v>36</v>
      </c>
      <c r="C9" t="s">
        <v>39</v>
      </c>
      <c r="D9" s="4">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4">
        <v>20000</v>
      </c>
      <c r="E10">
        <v>2</v>
      </c>
      <c r="F10" t="s">
        <v>29</v>
      </c>
      <c r="G10" t="s">
        <v>20</v>
      </c>
      <c r="H10" t="s">
        <v>15</v>
      </c>
      <c r="I10">
        <v>2</v>
      </c>
      <c r="J10" t="s">
        <v>23</v>
      </c>
      <c r="K10" t="s">
        <v>24</v>
      </c>
      <c r="L10">
        <v>58</v>
      </c>
      <c r="M10" t="str">
        <f t="shared" si="0"/>
        <v>Middle Age</v>
      </c>
      <c r="N10" t="s">
        <v>18</v>
      </c>
    </row>
    <row r="11" spans="1:14" x14ac:dyDescent="0.3">
      <c r="A11">
        <v>19280</v>
      </c>
      <c r="B11" t="s">
        <v>36</v>
      </c>
      <c r="C11" t="s">
        <v>39</v>
      </c>
      <c r="D11" s="4">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4">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4">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4">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4">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4">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4">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4">
        <v>30000</v>
      </c>
      <c r="E18">
        <v>3</v>
      </c>
      <c r="F18" t="s">
        <v>19</v>
      </c>
      <c r="G18" t="s">
        <v>20</v>
      </c>
      <c r="H18" t="s">
        <v>18</v>
      </c>
      <c r="I18">
        <v>2</v>
      </c>
      <c r="J18" t="s">
        <v>26</v>
      </c>
      <c r="K18" t="s">
        <v>24</v>
      </c>
      <c r="L18">
        <v>59</v>
      </c>
      <c r="M18" t="str">
        <f t="shared" si="0"/>
        <v>Middle Age</v>
      </c>
      <c r="N18" t="s">
        <v>15</v>
      </c>
    </row>
    <row r="19" spans="1:14" x14ac:dyDescent="0.3">
      <c r="A19">
        <v>12610</v>
      </c>
      <c r="B19" t="s">
        <v>36</v>
      </c>
      <c r="C19" t="s">
        <v>38</v>
      </c>
      <c r="D19" s="4">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4">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4">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4">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4">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4">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4">
        <v>80000</v>
      </c>
      <c r="E25">
        <v>5</v>
      </c>
      <c r="F25" t="s">
        <v>27</v>
      </c>
      <c r="G25" t="s">
        <v>28</v>
      </c>
      <c r="H25" t="s">
        <v>18</v>
      </c>
      <c r="I25">
        <v>3</v>
      </c>
      <c r="J25" t="s">
        <v>23</v>
      </c>
      <c r="K25" t="s">
        <v>17</v>
      </c>
      <c r="L25">
        <v>56</v>
      </c>
      <c r="M25" t="str">
        <f t="shared" si="0"/>
        <v>Middle Age</v>
      </c>
      <c r="N25" t="s">
        <v>18</v>
      </c>
    </row>
    <row r="26" spans="1:14" x14ac:dyDescent="0.3">
      <c r="A26">
        <v>27184</v>
      </c>
      <c r="B26" t="s">
        <v>37</v>
      </c>
      <c r="C26" t="s">
        <v>39</v>
      </c>
      <c r="D26" s="4">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4">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4">
        <v>30000</v>
      </c>
      <c r="E28">
        <v>0</v>
      </c>
      <c r="F28" t="s">
        <v>19</v>
      </c>
      <c r="G28" t="s">
        <v>20</v>
      </c>
      <c r="H28" t="s">
        <v>18</v>
      </c>
      <c r="I28">
        <v>1</v>
      </c>
      <c r="J28" t="s">
        <v>16</v>
      </c>
      <c r="K28" t="s">
        <v>17</v>
      </c>
      <c r="L28">
        <v>29</v>
      </c>
      <c r="M28" t="str">
        <f t="shared" si="0"/>
        <v>Adolscent</v>
      </c>
      <c r="N28" t="s">
        <v>15</v>
      </c>
    </row>
    <row r="29" spans="1:14" x14ac:dyDescent="0.3">
      <c r="A29">
        <v>18283</v>
      </c>
      <c r="B29" t="s">
        <v>37</v>
      </c>
      <c r="C29" t="s">
        <v>38</v>
      </c>
      <c r="D29" s="4">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4">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4">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4">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4">
        <v>10000</v>
      </c>
      <c r="E33">
        <v>0</v>
      </c>
      <c r="F33" t="s">
        <v>19</v>
      </c>
      <c r="G33" t="s">
        <v>25</v>
      </c>
      <c r="H33" t="s">
        <v>18</v>
      </c>
      <c r="I33">
        <v>1</v>
      </c>
      <c r="J33" t="s">
        <v>16</v>
      </c>
      <c r="K33" t="s">
        <v>24</v>
      </c>
      <c r="L33">
        <v>26</v>
      </c>
      <c r="M33" t="str">
        <f t="shared" si="0"/>
        <v>Adolscent</v>
      </c>
      <c r="N33" t="s">
        <v>15</v>
      </c>
    </row>
    <row r="34" spans="1:14" x14ac:dyDescent="0.3">
      <c r="A34">
        <v>20942</v>
      </c>
      <c r="B34" t="s">
        <v>37</v>
      </c>
      <c r="C34" t="s">
        <v>38</v>
      </c>
      <c r="D34" s="4">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4">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4">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4">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4">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4">
        <v>30000</v>
      </c>
      <c r="E39">
        <v>0</v>
      </c>
      <c r="F39" t="s">
        <v>19</v>
      </c>
      <c r="G39" t="s">
        <v>20</v>
      </c>
      <c r="H39" t="s">
        <v>18</v>
      </c>
      <c r="I39">
        <v>1</v>
      </c>
      <c r="J39" t="s">
        <v>22</v>
      </c>
      <c r="K39" t="s">
        <v>17</v>
      </c>
      <c r="L39">
        <v>30</v>
      </c>
      <c r="M39" t="str">
        <f t="shared" si="0"/>
        <v>Adolscent</v>
      </c>
      <c r="N39" t="s">
        <v>18</v>
      </c>
    </row>
    <row r="40" spans="1:14" x14ac:dyDescent="0.3">
      <c r="A40">
        <v>26863</v>
      </c>
      <c r="B40" t="s">
        <v>37</v>
      </c>
      <c r="C40" t="s">
        <v>39</v>
      </c>
      <c r="D40" s="4">
        <v>20000</v>
      </c>
      <c r="E40">
        <v>0</v>
      </c>
      <c r="F40" t="s">
        <v>27</v>
      </c>
      <c r="G40" t="s">
        <v>25</v>
      </c>
      <c r="H40" t="s">
        <v>18</v>
      </c>
      <c r="I40">
        <v>1</v>
      </c>
      <c r="J40" t="s">
        <v>22</v>
      </c>
      <c r="K40" t="s">
        <v>17</v>
      </c>
      <c r="L40">
        <v>28</v>
      </c>
      <c r="M40" t="str">
        <f t="shared" si="0"/>
        <v>Adolscent</v>
      </c>
      <c r="N40" t="s">
        <v>18</v>
      </c>
    </row>
    <row r="41" spans="1:14" x14ac:dyDescent="0.3">
      <c r="A41">
        <v>16259</v>
      </c>
      <c r="B41" t="s">
        <v>37</v>
      </c>
      <c r="C41" t="s">
        <v>38</v>
      </c>
      <c r="D41" s="4">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4">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4">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4">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4">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4">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4">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4">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4">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4">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4">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4">
        <v>30000</v>
      </c>
      <c r="E52">
        <v>0</v>
      </c>
      <c r="F52" t="s">
        <v>19</v>
      </c>
      <c r="G52" t="s">
        <v>20</v>
      </c>
      <c r="H52" t="s">
        <v>18</v>
      </c>
      <c r="I52">
        <v>1</v>
      </c>
      <c r="J52" t="s">
        <v>16</v>
      </c>
      <c r="K52" t="s">
        <v>17</v>
      </c>
      <c r="L52">
        <v>28</v>
      </c>
      <c r="M52" t="str">
        <f t="shared" si="0"/>
        <v>Adolscent</v>
      </c>
      <c r="N52" t="s">
        <v>18</v>
      </c>
    </row>
    <row r="53" spans="1:14" x14ac:dyDescent="0.3">
      <c r="A53">
        <v>20619</v>
      </c>
      <c r="B53" t="s">
        <v>37</v>
      </c>
      <c r="C53" t="s">
        <v>39</v>
      </c>
      <c r="D53" s="4">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4">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4">
        <v>90000</v>
      </c>
      <c r="E55">
        <v>4</v>
      </c>
      <c r="F55" t="s">
        <v>27</v>
      </c>
      <c r="G55" t="s">
        <v>28</v>
      </c>
      <c r="H55" t="s">
        <v>18</v>
      </c>
      <c r="I55">
        <v>3</v>
      </c>
      <c r="J55" t="s">
        <v>23</v>
      </c>
      <c r="K55" t="s">
        <v>17</v>
      </c>
      <c r="L55">
        <v>56</v>
      </c>
      <c r="M55" t="str">
        <f t="shared" si="0"/>
        <v>Middle Age</v>
      </c>
      <c r="N55" t="s">
        <v>18</v>
      </c>
    </row>
    <row r="56" spans="1:14" x14ac:dyDescent="0.3">
      <c r="A56">
        <v>17319</v>
      </c>
      <c r="B56" t="s">
        <v>37</v>
      </c>
      <c r="C56" t="s">
        <v>38</v>
      </c>
      <c r="D56" s="4">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4">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4">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4">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4">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4">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4">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4">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4">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4">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4">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4">
        <v>30000</v>
      </c>
      <c r="E67">
        <v>2</v>
      </c>
      <c r="F67" t="s">
        <v>19</v>
      </c>
      <c r="G67" t="s">
        <v>20</v>
      </c>
      <c r="H67" t="s">
        <v>15</v>
      </c>
      <c r="I67">
        <v>2</v>
      </c>
      <c r="J67" t="s">
        <v>23</v>
      </c>
      <c r="K67" t="s">
        <v>24</v>
      </c>
      <c r="L67">
        <v>68</v>
      </c>
      <c r="M67" t="str">
        <f t="shared" ref="M67:M130" si="1">IF(L67&gt;59,"Old",IF(L67&gt;=31,"Middle Age",IF(L67&lt;31,"Adolscent","Invalid")))</f>
        <v>Old</v>
      </c>
      <c r="N67" t="s">
        <v>18</v>
      </c>
    </row>
    <row r="68" spans="1:14" x14ac:dyDescent="0.3">
      <c r="A68">
        <v>29355</v>
      </c>
      <c r="B68" t="s">
        <v>36</v>
      </c>
      <c r="C68" t="s">
        <v>38</v>
      </c>
      <c r="D68" s="4">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4">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4">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4">
        <v>10000</v>
      </c>
      <c r="E71">
        <v>0</v>
      </c>
      <c r="F71" t="s">
        <v>29</v>
      </c>
      <c r="G71" t="s">
        <v>25</v>
      </c>
      <c r="H71" t="s">
        <v>18</v>
      </c>
      <c r="I71">
        <v>2</v>
      </c>
      <c r="J71" t="s">
        <v>16</v>
      </c>
      <c r="K71" t="s">
        <v>17</v>
      </c>
      <c r="L71">
        <v>30</v>
      </c>
      <c r="M71" t="str">
        <f t="shared" si="1"/>
        <v>Adolscent</v>
      </c>
      <c r="N71" t="s">
        <v>18</v>
      </c>
    </row>
    <row r="72" spans="1:14" x14ac:dyDescent="0.3">
      <c r="A72">
        <v>14238</v>
      </c>
      <c r="B72" t="s">
        <v>36</v>
      </c>
      <c r="C72" t="s">
        <v>39</v>
      </c>
      <c r="D72" s="4">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4">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4">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4">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4">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4">
        <v>20000</v>
      </c>
      <c r="E78">
        <v>0</v>
      </c>
      <c r="F78" t="s">
        <v>29</v>
      </c>
      <c r="G78" t="s">
        <v>25</v>
      </c>
      <c r="H78" t="s">
        <v>18</v>
      </c>
      <c r="I78">
        <v>2</v>
      </c>
      <c r="J78" t="s">
        <v>26</v>
      </c>
      <c r="K78" t="s">
        <v>17</v>
      </c>
      <c r="L78">
        <v>26</v>
      </c>
      <c r="M78" t="str">
        <f t="shared" si="1"/>
        <v>Adolscent</v>
      </c>
      <c r="N78" t="s">
        <v>18</v>
      </c>
    </row>
    <row r="79" spans="1:14" x14ac:dyDescent="0.3">
      <c r="A79">
        <v>27969</v>
      </c>
      <c r="B79" t="s">
        <v>36</v>
      </c>
      <c r="C79" t="s">
        <v>39</v>
      </c>
      <c r="D79" s="4">
        <v>80000</v>
      </c>
      <c r="E79">
        <v>0</v>
      </c>
      <c r="F79" t="s">
        <v>13</v>
      </c>
      <c r="G79" t="s">
        <v>21</v>
      </c>
      <c r="H79" t="s">
        <v>15</v>
      </c>
      <c r="I79">
        <v>2</v>
      </c>
      <c r="J79" t="s">
        <v>46</v>
      </c>
      <c r="K79" t="s">
        <v>24</v>
      </c>
      <c r="L79">
        <v>29</v>
      </c>
      <c r="M79" t="str">
        <f t="shared" si="1"/>
        <v>Adolscent</v>
      </c>
      <c r="N79" t="s">
        <v>15</v>
      </c>
    </row>
    <row r="80" spans="1:14" x14ac:dyDescent="0.3">
      <c r="A80">
        <v>15752</v>
      </c>
      <c r="B80" t="s">
        <v>36</v>
      </c>
      <c r="C80" t="s">
        <v>39</v>
      </c>
      <c r="D80" s="4">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4">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4">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4">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4">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4">
        <v>20000</v>
      </c>
      <c r="E85">
        <v>0</v>
      </c>
      <c r="F85" t="s">
        <v>27</v>
      </c>
      <c r="G85" t="s">
        <v>25</v>
      </c>
      <c r="H85" t="s">
        <v>18</v>
      </c>
      <c r="I85">
        <v>1</v>
      </c>
      <c r="J85" t="s">
        <v>22</v>
      </c>
      <c r="K85" t="s">
        <v>17</v>
      </c>
      <c r="L85">
        <v>29</v>
      </c>
      <c r="M85" t="str">
        <f t="shared" si="1"/>
        <v>Adolscent</v>
      </c>
      <c r="N85" t="s">
        <v>18</v>
      </c>
    </row>
    <row r="86" spans="1:14" x14ac:dyDescent="0.3">
      <c r="A86">
        <v>24485</v>
      </c>
      <c r="B86" t="s">
        <v>37</v>
      </c>
      <c r="C86" t="s">
        <v>39</v>
      </c>
      <c r="D86" s="4">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4">
        <v>10000</v>
      </c>
      <c r="E87">
        <v>0</v>
      </c>
      <c r="F87" t="s">
        <v>19</v>
      </c>
      <c r="G87" t="s">
        <v>25</v>
      </c>
      <c r="H87" t="s">
        <v>15</v>
      </c>
      <c r="I87">
        <v>1</v>
      </c>
      <c r="J87" t="s">
        <v>26</v>
      </c>
      <c r="K87" t="s">
        <v>24</v>
      </c>
      <c r="L87">
        <v>26</v>
      </c>
      <c r="M87" t="str">
        <f t="shared" si="1"/>
        <v>Adolscent</v>
      </c>
      <c r="N87" t="s">
        <v>15</v>
      </c>
    </row>
    <row r="88" spans="1:14" x14ac:dyDescent="0.3">
      <c r="A88">
        <v>17191</v>
      </c>
      <c r="B88" t="s">
        <v>37</v>
      </c>
      <c r="C88" t="s">
        <v>39</v>
      </c>
      <c r="D88" s="4">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4">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4">
        <v>30000</v>
      </c>
      <c r="E90">
        <v>0</v>
      </c>
      <c r="F90" t="s">
        <v>19</v>
      </c>
      <c r="G90" t="s">
        <v>20</v>
      </c>
      <c r="H90" t="s">
        <v>18</v>
      </c>
      <c r="I90">
        <v>1</v>
      </c>
      <c r="J90" t="s">
        <v>22</v>
      </c>
      <c r="K90" t="s">
        <v>17</v>
      </c>
      <c r="L90">
        <v>29</v>
      </c>
      <c r="M90" t="str">
        <f t="shared" si="1"/>
        <v>Adolscent</v>
      </c>
      <c r="N90" t="s">
        <v>18</v>
      </c>
    </row>
    <row r="91" spans="1:14" x14ac:dyDescent="0.3">
      <c r="A91">
        <v>25458</v>
      </c>
      <c r="B91" t="s">
        <v>36</v>
      </c>
      <c r="C91" t="s">
        <v>39</v>
      </c>
      <c r="D91" s="4">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4">
        <v>30000</v>
      </c>
      <c r="E92">
        <v>0</v>
      </c>
      <c r="F92" t="s">
        <v>19</v>
      </c>
      <c r="G92" t="s">
        <v>20</v>
      </c>
      <c r="H92" t="s">
        <v>18</v>
      </c>
      <c r="I92">
        <v>1</v>
      </c>
      <c r="J92" t="s">
        <v>16</v>
      </c>
      <c r="K92" t="s">
        <v>17</v>
      </c>
      <c r="L92">
        <v>29</v>
      </c>
      <c r="M92" t="str">
        <f t="shared" si="1"/>
        <v>Adolscent</v>
      </c>
      <c r="N92" t="s">
        <v>15</v>
      </c>
    </row>
    <row r="93" spans="1:14" x14ac:dyDescent="0.3">
      <c r="A93">
        <v>28436</v>
      </c>
      <c r="B93" t="s">
        <v>37</v>
      </c>
      <c r="C93" t="s">
        <v>39</v>
      </c>
      <c r="D93" s="4">
        <v>30000</v>
      </c>
      <c r="E93">
        <v>0</v>
      </c>
      <c r="F93" t="s">
        <v>19</v>
      </c>
      <c r="G93" t="s">
        <v>20</v>
      </c>
      <c r="H93" t="s">
        <v>18</v>
      </c>
      <c r="I93">
        <v>1</v>
      </c>
      <c r="J93" t="s">
        <v>16</v>
      </c>
      <c r="K93" t="s">
        <v>17</v>
      </c>
      <c r="L93">
        <v>30</v>
      </c>
      <c r="M93" t="str">
        <f t="shared" si="1"/>
        <v>Adolscent</v>
      </c>
      <c r="N93" t="s">
        <v>15</v>
      </c>
    </row>
    <row r="94" spans="1:14" x14ac:dyDescent="0.3">
      <c r="A94">
        <v>19562</v>
      </c>
      <c r="B94" t="s">
        <v>37</v>
      </c>
      <c r="C94" t="s">
        <v>38</v>
      </c>
      <c r="D94" s="4">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4">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4">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4">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4">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4">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4">
        <v>40000</v>
      </c>
      <c r="E100">
        <v>0</v>
      </c>
      <c r="F100" t="s">
        <v>31</v>
      </c>
      <c r="G100" t="s">
        <v>20</v>
      </c>
      <c r="H100" t="s">
        <v>15</v>
      </c>
      <c r="I100">
        <v>0</v>
      </c>
      <c r="J100" t="s">
        <v>16</v>
      </c>
      <c r="K100" t="s">
        <v>17</v>
      </c>
      <c r="L100">
        <v>25</v>
      </c>
      <c r="M100" t="str">
        <f t="shared" si="1"/>
        <v>Adolscent</v>
      </c>
      <c r="N100" t="s">
        <v>15</v>
      </c>
    </row>
    <row r="101" spans="1:14" x14ac:dyDescent="0.3">
      <c r="A101">
        <v>26852</v>
      </c>
      <c r="B101" t="s">
        <v>36</v>
      </c>
      <c r="C101" t="s">
        <v>38</v>
      </c>
      <c r="D101" s="4">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4">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4">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4">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4">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4">
        <v>30000</v>
      </c>
      <c r="E107">
        <v>0</v>
      </c>
      <c r="F107" t="s">
        <v>19</v>
      </c>
      <c r="G107" t="s">
        <v>20</v>
      </c>
      <c r="H107" t="s">
        <v>18</v>
      </c>
      <c r="I107">
        <v>1</v>
      </c>
      <c r="J107" t="s">
        <v>22</v>
      </c>
      <c r="K107" t="s">
        <v>17</v>
      </c>
      <c r="L107">
        <v>30</v>
      </c>
      <c r="M107" t="str">
        <f t="shared" si="1"/>
        <v>Adolscent</v>
      </c>
      <c r="N107" t="s">
        <v>18</v>
      </c>
    </row>
    <row r="108" spans="1:14" x14ac:dyDescent="0.3">
      <c r="A108">
        <v>20430</v>
      </c>
      <c r="B108" t="s">
        <v>36</v>
      </c>
      <c r="C108" t="s">
        <v>39</v>
      </c>
      <c r="D108" s="4">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4">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4">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4">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4">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4">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4">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4">
        <v>20000</v>
      </c>
      <c r="E116">
        <v>0</v>
      </c>
      <c r="F116" t="s">
        <v>13</v>
      </c>
      <c r="G116" t="s">
        <v>20</v>
      </c>
      <c r="H116" t="s">
        <v>15</v>
      </c>
      <c r="I116">
        <v>0</v>
      </c>
      <c r="J116" t="s">
        <v>16</v>
      </c>
      <c r="K116" t="s">
        <v>24</v>
      </c>
      <c r="L116">
        <v>26</v>
      </c>
      <c r="M116" t="str">
        <f t="shared" si="1"/>
        <v>Adolscent</v>
      </c>
      <c r="N116" t="s">
        <v>15</v>
      </c>
    </row>
    <row r="117" spans="1:14" x14ac:dyDescent="0.3">
      <c r="A117">
        <v>24140</v>
      </c>
      <c r="B117" t="s">
        <v>37</v>
      </c>
      <c r="C117" t="s">
        <v>39</v>
      </c>
      <c r="D117" s="4">
        <v>10000</v>
      </c>
      <c r="E117">
        <v>0</v>
      </c>
      <c r="F117" t="s">
        <v>31</v>
      </c>
      <c r="G117" t="s">
        <v>25</v>
      </c>
      <c r="H117" t="s">
        <v>18</v>
      </c>
      <c r="I117">
        <v>0</v>
      </c>
      <c r="J117" t="s">
        <v>16</v>
      </c>
      <c r="K117" t="s">
        <v>17</v>
      </c>
      <c r="L117">
        <v>30</v>
      </c>
      <c r="M117" t="str">
        <f t="shared" si="1"/>
        <v>Adolscent</v>
      </c>
      <c r="N117" t="s">
        <v>15</v>
      </c>
    </row>
    <row r="118" spans="1:14" x14ac:dyDescent="0.3">
      <c r="A118">
        <v>22496</v>
      </c>
      <c r="B118" t="s">
        <v>36</v>
      </c>
      <c r="C118" t="s">
        <v>38</v>
      </c>
      <c r="D118" s="4">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4">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4">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4">
        <v>30000</v>
      </c>
      <c r="E121">
        <v>0</v>
      </c>
      <c r="F121" t="s">
        <v>19</v>
      </c>
      <c r="G121" t="s">
        <v>20</v>
      </c>
      <c r="H121" t="s">
        <v>18</v>
      </c>
      <c r="I121">
        <v>1</v>
      </c>
      <c r="J121" t="s">
        <v>22</v>
      </c>
      <c r="K121" t="s">
        <v>17</v>
      </c>
      <c r="L121">
        <v>29</v>
      </c>
      <c r="M121" t="str">
        <f t="shared" si="1"/>
        <v>Adolscent</v>
      </c>
      <c r="N121" t="s">
        <v>18</v>
      </c>
    </row>
    <row r="122" spans="1:14" x14ac:dyDescent="0.3">
      <c r="A122">
        <v>22988</v>
      </c>
      <c r="B122" t="s">
        <v>36</v>
      </c>
      <c r="C122" t="s">
        <v>38</v>
      </c>
      <c r="D122" s="4">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4">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4">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4">
        <v>100000</v>
      </c>
      <c r="E125">
        <v>3</v>
      </c>
      <c r="F125" t="s">
        <v>19</v>
      </c>
      <c r="G125" t="s">
        <v>28</v>
      </c>
      <c r="H125" t="s">
        <v>18</v>
      </c>
      <c r="I125">
        <v>4</v>
      </c>
      <c r="J125" t="s">
        <v>23</v>
      </c>
      <c r="K125" t="s">
        <v>17</v>
      </c>
      <c r="L125">
        <v>56</v>
      </c>
      <c r="M125" t="str">
        <f t="shared" si="1"/>
        <v>Middle Age</v>
      </c>
      <c r="N125" t="s">
        <v>18</v>
      </c>
    </row>
    <row r="126" spans="1:14" x14ac:dyDescent="0.3">
      <c r="A126">
        <v>27775</v>
      </c>
      <c r="B126" t="s">
        <v>37</v>
      </c>
      <c r="C126" t="s">
        <v>38</v>
      </c>
      <c r="D126" s="4">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4">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4">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4">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4">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4">
        <v>10000</v>
      </c>
      <c r="E131">
        <v>3</v>
      </c>
      <c r="F131" t="s">
        <v>27</v>
      </c>
      <c r="G131" t="s">
        <v>25</v>
      </c>
      <c r="H131" t="s">
        <v>15</v>
      </c>
      <c r="I131">
        <v>1</v>
      </c>
      <c r="J131" t="s">
        <v>16</v>
      </c>
      <c r="K131" t="s">
        <v>17</v>
      </c>
      <c r="L131">
        <v>39</v>
      </c>
      <c r="M131" t="str">
        <f t="shared" ref="M131:M194" si="2">IF(L131&gt;59,"Old",IF(L131&gt;=31,"Middle Age",IF(L131&lt;31,"Adolscent","Invalid")))</f>
        <v>Middle Age</v>
      </c>
      <c r="N131" t="s">
        <v>15</v>
      </c>
    </row>
    <row r="132" spans="1:14" x14ac:dyDescent="0.3">
      <c r="A132">
        <v>12993</v>
      </c>
      <c r="B132" t="s">
        <v>36</v>
      </c>
      <c r="C132" t="s">
        <v>39</v>
      </c>
      <c r="D132" s="4">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4">
        <v>90000</v>
      </c>
      <c r="E133">
        <v>4</v>
      </c>
      <c r="F133" t="s">
        <v>27</v>
      </c>
      <c r="G133" t="s">
        <v>28</v>
      </c>
      <c r="H133" t="s">
        <v>15</v>
      </c>
      <c r="I133">
        <v>3</v>
      </c>
      <c r="J133" t="s">
        <v>23</v>
      </c>
      <c r="K133" t="s">
        <v>17</v>
      </c>
      <c r="L133">
        <v>56</v>
      </c>
      <c r="M133" t="str">
        <f t="shared" si="2"/>
        <v>Middle Age</v>
      </c>
      <c r="N133" t="s">
        <v>15</v>
      </c>
    </row>
    <row r="134" spans="1:14" x14ac:dyDescent="0.3">
      <c r="A134">
        <v>19477</v>
      </c>
      <c r="B134" t="s">
        <v>36</v>
      </c>
      <c r="C134" t="s">
        <v>39</v>
      </c>
      <c r="D134" s="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4">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4">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4">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4">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4">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4">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4">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4">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4">
        <v>10000</v>
      </c>
      <c r="E143">
        <v>0</v>
      </c>
      <c r="F143" t="s">
        <v>19</v>
      </c>
      <c r="G143" t="s">
        <v>25</v>
      </c>
      <c r="H143" t="s">
        <v>18</v>
      </c>
      <c r="I143">
        <v>1</v>
      </c>
      <c r="J143" t="s">
        <v>16</v>
      </c>
      <c r="K143" t="s">
        <v>24</v>
      </c>
      <c r="L143">
        <v>26</v>
      </c>
      <c r="M143" t="str">
        <f t="shared" si="2"/>
        <v>Adolscent</v>
      </c>
      <c r="N143" t="s">
        <v>15</v>
      </c>
    </row>
    <row r="144" spans="1:14" x14ac:dyDescent="0.3">
      <c r="A144">
        <v>14832</v>
      </c>
      <c r="B144" t="s">
        <v>36</v>
      </c>
      <c r="C144" t="s">
        <v>39</v>
      </c>
      <c r="D144" s="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4">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4">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4">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4">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4">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4">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4">
        <v>30000</v>
      </c>
      <c r="E151">
        <v>0</v>
      </c>
      <c r="F151" t="s">
        <v>19</v>
      </c>
      <c r="G151" t="s">
        <v>20</v>
      </c>
      <c r="H151" t="s">
        <v>18</v>
      </c>
      <c r="I151">
        <v>1</v>
      </c>
      <c r="J151" t="s">
        <v>26</v>
      </c>
      <c r="K151" t="s">
        <v>17</v>
      </c>
      <c r="L151">
        <v>27</v>
      </c>
      <c r="M151" t="str">
        <f t="shared" si="2"/>
        <v>Adolscent</v>
      </c>
      <c r="N151" t="s">
        <v>18</v>
      </c>
    </row>
    <row r="152" spans="1:14" x14ac:dyDescent="0.3">
      <c r="A152">
        <v>26154</v>
      </c>
      <c r="B152" t="s">
        <v>36</v>
      </c>
      <c r="C152" t="s">
        <v>39</v>
      </c>
      <c r="D152" s="4">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4">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4">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4">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4">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4">
        <v>130000</v>
      </c>
      <c r="E158">
        <v>5</v>
      </c>
      <c r="F158" t="s">
        <v>19</v>
      </c>
      <c r="G158" t="s">
        <v>21</v>
      </c>
      <c r="H158" t="s">
        <v>15</v>
      </c>
      <c r="I158">
        <v>4</v>
      </c>
      <c r="J158" t="s">
        <v>16</v>
      </c>
      <c r="K158" t="s">
        <v>17</v>
      </c>
      <c r="L158">
        <v>59</v>
      </c>
      <c r="M158" t="str">
        <f t="shared" si="2"/>
        <v>Middle Age</v>
      </c>
      <c r="N158" t="s">
        <v>18</v>
      </c>
    </row>
    <row r="159" spans="1:14" x14ac:dyDescent="0.3">
      <c r="A159">
        <v>23979</v>
      </c>
      <c r="B159" t="s">
        <v>37</v>
      </c>
      <c r="C159" t="s">
        <v>39</v>
      </c>
      <c r="D159" s="4">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4">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4">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4">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4">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4">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4">
        <v>10000</v>
      </c>
      <c r="E166">
        <v>0</v>
      </c>
      <c r="F166" t="s">
        <v>19</v>
      </c>
      <c r="G166" t="s">
        <v>25</v>
      </c>
      <c r="H166" t="s">
        <v>15</v>
      </c>
      <c r="I166">
        <v>1</v>
      </c>
      <c r="J166" t="s">
        <v>22</v>
      </c>
      <c r="K166" t="s">
        <v>24</v>
      </c>
      <c r="L166">
        <v>25</v>
      </c>
      <c r="M166" t="str">
        <f t="shared" si="2"/>
        <v>Adolscent</v>
      </c>
      <c r="N166" t="s">
        <v>15</v>
      </c>
    </row>
    <row r="167" spans="1:14" x14ac:dyDescent="0.3">
      <c r="A167">
        <v>15465</v>
      </c>
      <c r="B167" t="s">
        <v>36</v>
      </c>
      <c r="C167" t="s">
        <v>38</v>
      </c>
      <c r="D167" s="4">
        <v>10000</v>
      </c>
      <c r="E167">
        <v>0</v>
      </c>
      <c r="F167" t="s">
        <v>19</v>
      </c>
      <c r="G167" t="s">
        <v>25</v>
      </c>
      <c r="H167" t="s">
        <v>18</v>
      </c>
      <c r="I167">
        <v>1</v>
      </c>
      <c r="J167" t="s">
        <v>16</v>
      </c>
      <c r="K167" t="s">
        <v>24</v>
      </c>
      <c r="L167">
        <v>25</v>
      </c>
      <c r="M167" t="str">
        <f t="shared" si="2"/>
        <v>Adolscent</v>
      </c>
      <c r="N167" t="s">
        <v>18</v>
      </c>
    </row>
    <row r="168" spans="1:14" x14ac:dyDescent="0.3">
      <c r="A168">
        <v>26757</v>
      </c>
      <c r="B168" t="s">
        <v>37</v>
      </c>
      <c r="C168" t="s">
        <v>39</v>
      </c>
      <c r="D168" s="4">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4">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4">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4">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4">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4">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4">
        <v>10000</v>
      </c>
      <c r="E175">
        <v>0</v>
      </c>
      <c r="F175" t="s">
        <v>19</v>
      </c>
      <c r="G175" t="s">
        <v>25</v>
      </c>
      <c r="H175" t="s">
        <v>15</v>
      </c>
      <c r="I175">
        <v>1</v>
      </c>
      <c r="J175" t="s">
        <v>22</v>
      </c>
      <c r="K175" t="s">
        <v>24</v>
      </c>
      <c r="L175">
        <v>27</v>
      </c>
      <c r="M175" t="str">
        <f t="shared" si="2"/>
        <v>Adolscent</v>
      </c>
      <c r="N175" t="s">
        <v>18</v>
      </c>
    </row>
    <row r="176" spans="1:14" x14ac:dyDescent="0.3">
      <c r="A176">
        <v>19442</v>
      </c>
      <c r="B176" t="s">
        <v>37</v>
      </c>
      <c r="C176" t="s">
        <v>39</v>
      </c>
      <c r="D176" s="4">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4">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4">
        <v>20000</v>
      </c>
      <c r="E178">
        <v>0</v>
      </c>
      <c r="F178" t="s">
        <v>19</v>
      </c>
      <c r="G178" t="s">
        <v>25</v>
      </c>
      <c r="H178" t="s">
        <v>15</v>
      </c>
      <c r="I178">
        <v>0</v>
      </c>
      <c r="J178" t="s">
        <v>16</v>
      </c>
      <c r="K178" t="s">
        <v>24</v>
      </c>
      <c r="L178">
        <v>29</v>
      </c>
      <c r="M178" t="str">
        <f t="shared" si="2"/>
        <v>Adolscent</v>
      </c>
      <c r="N178" t="s">
        <v>15</v>
      </c>
    </row>
    <row r="179" spans="1:14" x14ac:dyDescent="0.3">
      <c r="A179">
        <v>27304</v>
      </c>
      <c r="B179" t="s">
        <v>37</v>
      </c>
      <c r="C179" t="s">
        <v>38</v>
      </c>
      <c r="D179" s="4">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4">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38</v>
      </c>
      <c r="D181" s="4">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4">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4">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4">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4">
        <v>130000</v>
      </c>
      <c r="E186">
        <v>4</v>
      </c>
      <c r="F186" t="s">
        <v>27</v>
      </c>
      <c r="G186" t="s">
        <v>28</v>
      </c>
      <c r="H186" t="s">
        <v>18</v>
      </c>
      <c r="I186">
        <v>4</v>
      </c>
      <c r="J186" t="s">
        <v>46</v>
      </c>
      <c r="K186" t="s">
        <v>17</v>
      </c>
      <c r="L186">
        <v>58</v>
      </c>
      <c r="M186" t="str">
        <f t="shared" si="2"/>
        <v>Middle Age</v>
      </c>
      <c r="N186" t="s">
        <v>18</v>
      </c>
    </row>
    <row r="187" spans="1:14" x14ac:dyDescent="0.3">
      <c r="A187">
        <v>15799</v>
      </c>
      <c r="B187" t="s">
        <v>36</v>
      </c>
      <c r="C187" t="s">
        <v>38</v>
      </c>
      <c r="D187" s="4">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4">
        <v>30000</v>
      </c>
      <c r="E188">
        <v>3</v>
      </c>
      <c r="F188" t="s">
        <v>27</v>
      </c>
      <c r="G188" t="s">
        <v>14</v>
      </c>
      <c r="H188" t="s">
        <v>18</v>
      </c>
      <c r="I188">
        <v>2</v>
      </c>
      <c r="J188" t="s">
        <v>26</v>
      </c>
      <c r="K188" t="s">
        <v>24</v>
      </c>
      <c r="L188">
        <v>56</v>
      </c>
      <c r="M188" t="str">
        <f t="shared" si="2"/>
        <v>Middle Age</v>
      </c>
      <c r="N188" t="s">
        <v>15</v>
      </c>
    </row>
    <row r="189" spans="1:14" x14ac:dyDescent="0.3">
      <c r="A189">
        <v>18151</v>
      </c>
      <c r="B189" t="s">
        <v>37</v>
      </c>
      <c r="C189" t="s">
        <v>39</v>
      </c>
      <c r="D189" s="4">
        <v>80000</v>
      </c>
      <c r="E189">
        <v>5</v>
      </c>
      <c r="F189" t="s">
        <v>19</v>
      </c>
      <c r="G189" t="s">
        <v>21</v>
      </c>
      <c r="H189" t="s">
        <v>18</v>
      </c>
      <c r="I189">
        <v>2</v>
      </c>
      <c r="J189" t="s">
        <v>46</v>
      </c>
      <c r="K189" t="s">
        <v>17</v>
      </c>
      <c r="L189">
        <v>59</v>
      </c>
      <c r="M189" t="str">
        <f t="shared" si="2"/>
        <v>Middle Age</v>
      </c>
      <c r="N189" t="s">
        <v>18</v>
      </c>
    </row>
    <row r="190" spans="1:14" x14ac:dyDescent="0.3">
      <c r="A190">
        <v>20606</v>
      </c>
      <c r="B190" t="s">
        <v>36</v>
      </c>
      <c r="C190" t="s">
        <v>38</v>
      </c>
      <c r="D190" s="4">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4">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4">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4">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4">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4">
        <v>70000</v>
      </c>
      <c r="E195">
        <v>5</v>
      </c>
      <c r="F195" t="s">
        <v>13</v>
      </c>
      <c r="G195" t="s">
        <v>21</v>
      </c>
      <c r="H195" t="s">
        <v>15</v>
      </c>
      <c r="I195">
        <v>4</v>
      </c>
      <c r="J195" t="s">
        <v>46</v>
      </c>
      <c r="K195" t="s">
        <v>24</v>
      </c>
      <c r="L195">
        <v>41</v>
      </c>
      <c r="M195" t="str">
        <f t="shared" ref="M195:M258" si="3">IF(L195&gt;59,"Old",IF(L195&gt;=31,"Middle Age",IF(L195&lt;31,"Adolscent","Invalid")))</f>
        <v>Middle Age</v>
      </c>
      <c r="N195" t="s">
        <v>18</v>
      </c>
    </row>
    <row r="196" spans="1:14" x14ac:dyDescent="0.3">
      <c r="A196">
        <v>17843</v>
      </c>
      <c r="B196" t="s">
        <v>37</v>
      </c>
      <c r="C196" t="s">
        <v>38</v>
      </c>
      <c r="D196" s="4">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4">
        <v>20000</v>
      </c>
      <c r="E197">
        <v>0</v>
      </c>
      <c r="F197" t="s">
        <v>13</v>
      </c>
      <c r="G197" t="s">
        <v>20</v>
      </c>
      <c r="H197" t="s">
        <v>15</v>
      </c>
      <c r="I197">
        <v>0</v>
      </c>
      <c r="J197" t="s">
        <v>16</v>
      </c>
      <c r="K197" t="s">
        <v>24</v>
      </c>
      <c r="L197">
        <v>25</v>
      </c>
      <c r="M197" t="str">
        <f t="shared" si="3"/>
        <v>Adolscent</v>
      </c>
      <c r="N197" t="s">
        <v>15</v>
      </c>
    </row>
    <row r="198" spans="1:14" x14ac:dyDescent="0.3">
      <c r="A198">
        <v>16209</v>
      </c>
      <c r="B198" t="s">
        <v>37</v>
      </c>
      <c r="C198" t="s">
        <v>38</v>
      </c>
      <c r="D198" s="4">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4">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4">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4">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4">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4">
        <v>10000</v>
      </c>
      <c r="E203">
        <v>1</v>
      </c>
      <c r="F203" t="s">
        <v>27</v>
      </c>
      <c r="G203" t="s">
        <v>25</v>
      </c>
      <c r="H203" t="s">
        <v>15</v>
      </c>
      <c r="I203">
        <v>0</v>
      </c>
      <c r="J203" t="s">
        <v>22</v>
      </c>
      <c r="K203" t="s">
        <v>24</v>
      </c>
      <c r="L203">
        <v>27</v>
      </c>
      <c r="M203" t="str">
        <f t="shared" si="3"/>
        <v>Adolscent</v>
      </c>
      <c r="N203" t="s">
        <v>15</v>
      </c>
    </row>
    <row r="204" spans="1:14" x14ac:dyDescent="0.3">
      <c r="A204">
        <v>18626</v>
      </c>
      <c r="B204" t="s">
        <v>37</v>
      </c>
      <c r="C204" t="s">
        <v>39</v>
      </c>
      <c r="D204" s="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4">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4">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4">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4">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4">
        <v>20000</v>
      </c>
      <c r="E209">
        <v>0</v>
      </c>
      <c r="F209" t="s">
        <v>29</v>
      </c>
      <c r="G209" t="s">
        <v>25</v>
      </c>
      <c r="H209" t="s">
        <v>15</v>
      </c>
      <c r="I209">
        <v>2</v>
      </c>
      <c r="J209" t="s">
        <v>26</v>
      </c>
      <c r="K209" t="s">
        <v>17</v>
      </c>
      <c r="L209">
        <v>26</v>
      </c>
      <c r="M209" t="str">
        <f t="shared" si="3"/>
        <v>Adolscent</v>
      </c>
      <c r="N209" t="s">
        <v>15</v>
      </c>
    </row>
    <row r="210" spans="1:14" x14ac:dyDescent="0.3">
      <c r="A210">
        <v>22633</v>
      </c>
      <c r="B210" t="s">
        <v>37</v>
      </c>
      <c r="C210" t="s">
        <v>38</v>
      </c>
      <c r="D210" s="4">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4">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4">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4">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4">
        <v>30000</v>
      </c>
      <c r="E214">
        <v>0</v>
      </c>
      <c r="F214" t="s">
        <v>19</v>
      </c>
      <c r="G214" t="s">
        <v>20</v>
      </c>
      <c r="H214" t="s">
        <v>18</v>
      </c>
      <c r="I214">
        <v>1</v>
      </c>
      <c r="J214" t="s">
        <v>22</v>
      </c>
      <c r="K214" t="s">
        <v>17</v>
      </c>
      <c r="L214">
        <v>30</v>
      </c>
      <c r="M214" t="str">
        <f t="shared" si="3"/>
        <v>Adolscent</v>
      </c>
      <c r="N214" t="s">
        <v>18</v>
      </c>
    </row>
    <row r="215" spans="1:14" x14ac:dyDescent="0.3">
      <c r="A215">
        <v>11451</v>
      </c>
      <c r="B215" t="s">
        <v>37</v>
      </c>
      <c r="C215" t="s">
        <v>39</v>
      </c>
      <c r="D215" s="4">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4">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4">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4">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4">
        <v>20000</v>
      </c>
      <c r="E219">
        <v>0</v>
      </c>
      <c r="F219" t="s">
        <v>29</v>
      </c>
      <c r="G219" t="s">
        <v>25</v>
      </c>
      <c r="H219" t="s">
        <v>18</v>
      </c>
      <c r="I219">
        <v>2</v>
      </c>
      <c r="J219" t="s">
        <v>16</v>
      </c>
      <c r="K219" t="s">
        <v>17</v>
      </c>
      <c r="L219">
        <v>25</v>
      </c>
      <c r="M219" t="str">
        <f t="shared" si="3"/>
        <v>Adolscent</v>
      </c>
      <c r="N219" t="s">
        <v>18</v>
      </c>
    </row>
    <row r="220" spans="1:14" x14ac:dyDescent="0.3">
      <c r="A220">
        <v>16043</v>
      </c>
      <c r="B220" t="s">
        <v>37</v>
      </c>
      <c r="C220" t="s">
        <v>39</v>
      </c>
      <c r="D220" s="4">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4">
        <v>10000</v>
      </c>
      <c r="E221">
        <v>0</v>
      </c>
      <c r="F221" t="s">
        <v>19</v>
      </c>
      <c r="G221" t="s">
        <v>25</v>
      </c>
      <c r="H221" t="s">
        <v>15</v>
      </c>
      <c r="I221">
        <v>1</v>
      </c>
      <c r="J221" t="s">
        <v>26</v>
      </c>
      <c r="K221" t="s">
        <v>24</v>
      </c>
      <c r="L221">
        <v>26</v>
      </c>
      <c r="M221" t="str">
        <f t="shared" si="3"/>
        <v>Adolscent</v>
      </c>
      <c r="N221" t="s">
        <v>15</v>
      </c>
    </row>
    <row r="222" spans="1:14" x14ac:dyDescent="0.3">
      <c r="A222">
        <v>27696</v>
      </c>
      <c r="B222" t="s">
        <v>36</v>
      </c>
      <c r="C222" t="s">
        <v>39</v>
      </c>
      <c r="D222" s="4">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4">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4">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4">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4">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4">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4">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4">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4">
        <v>80000</v>
      </c>
      <c r="E231">
        <v>5</v>
      </c>
      <c r="F231" t="s">
        <v>27</v>
      </c>
      <c r="G231" t="s">
        <v>28</v>
      </c>
      <c r="H231" t="s">
        <v>15</v>
      </c>
      <c r="I231">
        <v>3</v>
      </c>
      <c r="J231" t="s">
        <v>46</v>
      </c>
      <c r="K231" t="s">
        <v>17</v>
      </c>
      <c r="L231">
        <v>57</v>
      </c>
      <c r="M231" t="str">
        <f t="shared" si="3"/>
        <v>Middle Age</v>
      </c>
      <c r="N231" t="s">
        <v>18</v>
      </c>
    </row>
    <row r="232" spans="1:14" x14ac:dyDescent="0.3">
      <c r="A232">
        <v>22830</v>
      </c>
      <c r="B232" t="s">
        <v>36</v>
      </c>
      <c r="C232" t="s">
        <v>39</v>
      </c>
      <c r="D232" s="4">
        <v>120000</v>
      </c>
      <c r="E232">
        <v>4</v>
      </c>
      <c r="F232" t="s">
        <v>19</v>
      </c>
      <c r="G232" t="s">
        <v>28</v>
      </c>
      <c r="H232" t="s">
        <v>15</v>
      </c>
      <c r="I232">
        <v>3</v>
      </c>
      <c r="J232" t="s">
        <v>46</v>
      </c>
      <c r="K232" t="s">
        <v>17</v>
      </c>
      <c r="L232">
        <v>56</v>
      </c>
      <c r="M232" t="str">
        <f t="shared" si="3"/>
        <v>Middle Age</v>
      </c>
      <c r="N232" t="s">
        <v>18</v>
      </c>
    </row>
    <row r="233" spans="1:14" x14ac:dyDescent="0.3">
      <c r="A233">
        <v>14777</v>
      </c>
      <c r="B233" t="s">
        <v>36</v>
      </c>
      <c r="C233" t="s">
        <v>38</v>
      </c>
      <c r="D233" s="4">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4">
        <v>20000</v>
      </c>
      <c r="E235">
        <v>0</v>
      </c>
      <c r="F235" t="s">
        <v>13</v>
      </c>
      <c r="G235" t="s">
        <v>20</v>
      </c>
      <c r="H235" t="s">
        <v>15</v>
      </c>
      <c r="I235">
        <v>0</v>
      </c>
      <c r="J235" t="s">
        <v>16</v>
      </c>
      <c r="K235" t="s">
        <v>24</v>
      </c>
      <c r="L235">
        <v>27</v>
      </c>
      <c r="M235" t="str">
        <f t="shared" si="3"/>
        <v>Adolscent</v>
      </c>
      <c r="N235" t="s">
        <v>15</v>
      </c>
    </row>
    <row r="236" spans="1:14" x14ac:dyDescent="0.3">
      <c r="A236">
        <v>24611</v>
      </c>
      <c r="B236" t="s">
        <v>37</v>
      </c>
      <c r="C236" t="s">
        <v>39</v>
      </c>
      <c r="D236" s="4">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4">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4">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4">
        <v>10000</v>
      </c>
      <c r="E239">
        <v>0</v>
      </c>
      <c r="F239" t="s">
        <v>19</v>
      </c>
      <c r="G239" t="s">
        <v>25</v>
      </c>
      <c r="H239" t="s">
        <v>18</v>
      </c>
      <c r="I239">
        <v>1</v>
      </c>
      <c r="J239" t="s">
        <v>16</v>
      </c>
      <c r="K239" t="s">
        <v>24</v>
      </c>
      <c r="L239">
        <v>26</v>
      </c>
      <c r="M239" t="str">
        <f t="shared" si="3"/>
        <v>Adolscent</v>
      </c>
      <c r="N239" t="s">
        <v>15</v>
      </c>
    </row>
    <row r="240" spans="1:14" x14ac:dyDescent="0.3">
      <c r="A240">
        <v>22006</v>
      </c>
      <c r="B240" t="s">
        <v>36</v>
      </c>
      <c r="C240" t="s">
        <v>39</v>
      </c>
      <c r="D240" s="4">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4">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4">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4">
        <v>30000</v>
      </c>
      <c r="E243">
        <v>3</v>
      </c>
      <c r="F243" t="s">
        <v>19</v>
      </c>
      <c r="G243" t="s">
        <v>20</v>
      </c>
      <c r="H243" t="s">
        <v>15</v>
      </c>
      <c r="I243">
        <v>2</v>
      </c>
      <c r="J243" t="s">
        <v>16</v>
      </c>
      <c r="K243" t="s">
        <v>17</v>
      </c>
      <c r="L243">
        <v>27</v>
      </c>
      <c r="M243" t="str">
        <f t="shared" si="3"/>
        <v>Adolscent</v>
      </c>
      <c r="N243" t="s">
        <v>18</v>
      </c>
    </row>
    <row r="244" spans="1:14" x14ac:dyDescent="0.3">
      <c r="A244">
        <v>23908</v>
      </c>
      <c r="B244" t="s">
        <v>37</v>
      </c>
      <c r="C244" t="s">
        <v>39</v>
      </c>
      <c r="D244" s="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4">
        <v>20000</v>
      </c>
      <c r="E245">
        <v>0</v>
      </c>
      <c r="F245" t="s">
        <v>27</v>
      </c>
      <c r="G245" t="s">
        <v>25</v>
      </c>
      <c r="H245" t="s">
        <v>18</v>
      </c>
      <c r="I245">
        <v>1</v>
      </c>
      <c r="J245" t="s">
        <v>22</v>
      </c>
      <c r="K245" t="s">
        <v>17</v>
      </c>
      <c r="L245">
        <v>29</v>
      </c>
      <c r="M245" t="str">
        <f t="shared" si="3"/>
        <v>Adolscent</v>
      </c>
      <c r="N245" t="s">
        <v>18</v>
      </c>
    </row>
    <row r="246" spans="1:14" x14ac:dyDescent="0.3">
      <c r="A246">
        <v>19057</v>
      </c>
      <c r="B246" t="s">
        <v>36</v>
      </c>
      <c r="C246" t="s">
        <v>38</v>
      </c>
      <c r="D246" s="4">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4">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4">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4">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4">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4">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4">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4">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4">
        <v>100000</v>
      </c>
      <c r="E255">
        <v>3</v>
      </c>
      <c r="F255" t="s">
        <v>29</v>
      </c>
      <c r="G255" t="s">
        <v>21</v>
      </c>
      <c r="H255" t="s">
        <v>15</v>
      </c>
      <c r="I255">
        <v>0</v>
      </c>
      <c r="J255" t="s">
        <v>46</v>
      </c>
      <c r="K255" t="s">
        <v>17</v>
      </c>
      <c r="L255">
        <v>59</v>
      </c>
      <c r="M255" t="str">
        <f t="shared" si="3"/>
        <v>Middle Age</v>
      </c>
      <c r="N255" t="s">
        <v>15</v>
      </c>
    </row>
    <row r="256" spans="1:14" x14ac:dyDescent="0.3">
      <c r="A256">
        <v>21375</v>
      </c>
      <c r="B256" t="s">
        <v>37</v>
      </c>
      <c r="C256" t="s">
        <v>39</v>
      </c>
      <c r="D256" s="4">
        <v>20000</v>
      </c>
      <c r="E256">
        <v>2</v>
      </c>
      <c r="F256" t="s">
        <v>29</v>
      </c>
      <c r="G256" t="s">
        <v>20</v>
      </c>
      <c r="H256" t="s">
        <v>15</v>
      </c>
      <c r="I256">
        <v>2</v>
      </c>
      <c r="J256" t="s">
        <v>23</v>
      </c>
      <c r="K256" t="s">
        <v>24</v>
      </c>
      <c r="L256">
        <v>57</v>
      </c>
      <c r="M256" t="str">
        <f t="shared" si="3"/>
        <v>Middle Age</v>
      </c>
      <c r="N256" t="s">
        <v>18</v>
      </c>
    </row>
    <row r="257" spans="1:14" x14ac:dyDescent="0.3">
      <c r="A257">
        <v>20839</v>
      </c>
      <c r="B257" t="s">
        <v>37</v>
      </c>
      <c r="C257" t="s">
        <v>38</v>
      </c>
      <c r="D257" s="4">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4">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4">
        <v>50000</v>
      </c>
      <c r="E259">
        <v>0</v>
      </c>
      <c r="F259" t="s">
        <v>31</v>
      </c>
      <c r="G259" t="s">
        <v>14</v>
      </c>
      <c r="H259" t="s">
        <v>15</v>
      </c>
      <c r="I259">
        <v>0</v>
      </c>
      <c r="J259" t="s">
        <v>16</v>
      </c>
      <c r="K259" t="s">
        <v>17</v>
      </c>
      <c r="L259">
        <v>36</v>
      </c>
      <c r="M259" t="str">
        <f t="shared" ref="M259:M322" si="4">IF(L259&gt;59,"Old",IF(L259&gt;=31,"Middle Age",IF(L259&lt;31,"Adolscent","Invalid")))</f>
        <v>Middle Age</v>
      </c>
      <c r="N259" t="s">
        <v>15</v>
      </c>
    </row>
    <row r="260" spans="1:14" x14ac:dyDescent="0.3">
      <c r="A260">
        <v>14193</v>
      </c>
      <c r="B260" t="s">
        <v>37</v>
      </c>
      <c r="C260" t="s">
        <v>38</v>
      </c>
      <c r="D260" s="4">
        <v>100000</v>
      </c>
      <c r="E260">
        <v>3</v>
      </c>
      <c r="F260" t="s">
        <v>19</v>
      </c>
      <c r="G260" t="s">
        <v>28</v>
      </c>
      <c r="H260" t="s">
        <v>15</v>
      </c>
      <c r="I260">
        <v>4</v>
      </c>
      <c r="J260" t="s">
        <v>46</v>
      </c>
      <c r="K260" t="s">
        <v>17</v>
      </c>
      <c r="L260">
        <v>56</v>
      </c>
      <c r="M260" t="str">
        <f t="shared" si="4"/>
        <v>Middle Age</v>
      </c>
      <c r="N260" t="s">
        <v>18</v>
      </c>
    </row>
    <row r="261" spans="1:14" x14ac:dyDescent="0.3">
      <c r="A261">
        <v>12705</v>
      </c>
      <c r="B261" t="s">
        <v>36</v>
      </c>
      <c r="C261" t="s">
        <v>39</v>
      </c>
      <c r="D261" s="4">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4">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4">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4">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4">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4">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4">
        <v>20000</v>
      </c>
      <c r="E268">
        <v>5</v>
      </c>
      <c r="F268" t="s">
        <v>27</v>
      </c>
      <c r="G268" t="s">
        <v>25</v>
      </c>
      <c r="H268" t="s">
        <v>15</v>
      </c>
      <c r="I268">
        <v>2</v>
      </c>
      <c r="J268" t="s">
        <v>16</v>
      </c>
      <c r="K268" t="s">
        <v>17</v>
      </c>
      <c r="L268">
        <v>27</v>
      </c>
      <c r="M268" t="str">
        <f t="shared" si="4"/>
        <v>Adolscent</v>
      </c>
      <c r="N268" t="s">
        <v>18</v>
      </c>
    </row>
    <row r="269" spans="1:14" x14ac:dyDescent="0.3">
      <c r="A269">
        <v>13133</v>
      </c>
      <c r="B269" t="s">
        <v>37</v>
      </c>
      <c r="C269" t="s">
        <v>39</v>
      </c>
      <c r="D269" s="4">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4">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4">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4">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4">
        <v>20000</v>
      </c>
      <c r="E273">
        <v>0</v>
      </c>
      <c r="F273" t="s">
        <v>27</v>
      </c>
      <c r="G273" t="s">
        <v>25</v>
      </c>
      <c r="H273" t="s">
        <v>18</v>
      </c>
      <c r="I273">
        <v>1</v>
      </c>
      <c r="J273" t="s">
        <v>26</v>
      </c>
      <c r="K273" t="s">
        <v>17</v>
      </c>
      <c r="L273">
        <v>28</v>
      </c>
      <c r="M273" t="str">
        <f t="shared" si="4"/>
        <v>Adolscent</v>
      </c>
      <c r="N273" t="s">
        <v>18</v>
      </c>
    </row>
    <row r="274" spans="1:14" x14ac:dyDescent="0.3">
      <c r="A274">
        <v>24061</v>
      </c>
      <c r="B274" t="s">
        <v>36</v>
      </c>
      <c r="C274" t="s">
        <v>39</v>
      </c>
      <c r="D274" s="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4">
        <v>20000</v>
      </c>
      <c r="E275">
        <v>0</v>
      </c>
      <c r="F275" t="s">
        <v>27</v>
      </c>
      <c r="G275" t="s">
        <v>25</v>
      </c>
      <c r="H275" t="s">
        <v>18</v>
      </c>
      <c r="I275">
        <v>1</v>
      </c>
      <c r="J275" t="s">
        <v>22</v>
      </c>
      <c r="K275" t="s">
        <v>17</v>
      </c>
      <c r="L275">
        <v>30</v>
      </c>
      <c r="M275" t="str">
        <f t="shared" si="4"/>
        <v>Adolscent</v>
      </c>
      <c r="N275" t="s">
        <v>18</v>
      </c>
    </row>
    <row r="276" spans="1:14" x14ac:dyDescent="0.3">
      <c r="A276">
        <v>12284</v>
      </c>
      <c r="B276" t="s">
        <v>36</v>
      </c>
      <c r="C276" t="s">
        <v>38</v>
      </c>
      <c r="D276" s="4">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4">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4">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4">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4">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4">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4">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4">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4">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4">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4">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4">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4">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4">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4">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4">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4">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4">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4">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4">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4">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4">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4">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4">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4">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4">
        <v>40000</v>
      </c>
      <c r="E303">
        <v>0</v>
      </c>
      <c r="F303" t="s">
        <v>13</v>
      </c>
      <c r="G303" t="s">
        <v>20</v>
      </c>
      <c r="H303" t="s">
        <v>18</v>
      </c>
      <c r="I303">
        <v>0</v>
      </c>
      <c r="J303" t="s">
        <v>16</v>
      </c>
      <c r="K303" t="s">
        <v>24</v>
      </c>
      <c r="L303">
        <v>28</v>
      </c>
      <c r="M303" t="str">
        <f t="shared" si="4"/>
        <v>Adolscent</v>
      </c>
      <c r="N303" t="s">
        <v>15</v>
      </c>
    </row>
    <row r="304" spans="1:14" x14ac:dyDescent="0.3">
      <c r="A304">
        <v>26928</v>
      </c>
      <c r="B304" t="s">
        <v>37</v>
      </c>
      <c r="C304" t="s">
        <v>39</v>
      </c>
      <c r="D304" s="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4">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4">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4">
        <v>10000</v>
      </c>
      <c r="E307">
        <v>2</v>
      </c>
      <c r="F307" t="s">
        <v>29</v>
      </c>
      <c r="G307" t="s">
        <v>20</v>
      </c>
      <c r="H307" t="s">
        <v>15</v>
      </c>
      <c r="I307">
        <v>2</v>
      </c>
      <c r="J307" t="s">
        <v>23</v>
      </c>
      <c r="K307" t="s">
        <v>24</v>
      </c>
      <c r="L307">
        <v>58</v>
      </c>
      <c r="M307" t="str">
        <f t="shared" si="4"/>
        <v>Middle Age</v>
      </c>
      <c r="N307" t="s">
        <v>18</v>
      </c>
    </row>
    <row r="308" spans="1:14" x14ac:dyDescent="0.3">
      <c r="A308">
        <v>11000</v>
      </c>
      <c r="B308" t="s">
        <v>36</v>
      </c>
      <c r="C308" t="s">
        <v>39</v>
      </c>
      <c r="D308" s="4">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4">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4">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4">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4">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4">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4">
        <v>20000</v>
      </c>
      <c r="E314">
        <v>4</v>
      </c>
      <c r="F314" t="s">
        <v>27</v>
      </c>
      <c r="G314" t="s">
        <v>14</v>
      </c>
      <c r="H314" t="s">
        <v>15</v>
      </c>
      <c r="I314">
        <v>2</v>
      </c>
      <c r="J314" t="s">
        <v>23</v>
      </c>
      <c r="K314" t="s">
        <v>24</v>
      </c>
      <c r="L314">
        <v>58</v>
      </c>
      <c r="M314" t="str">
        <f t="shared" si="4"/>
        <v>Middle Age</v>
      </c>
      <c r="N314" t="s">
        <v>15</v>
      </c>
    </row>
    <row r="315" spans="1:14" x14ac:dyDescent="0.3">
      <c r="A315">
        <v>23105</v>
      </c>
      <c r="B315" t="s">
        <v>37</v>
      </c>
      <c r="C315" t="s">
        <v>39</v>
      </c>
      <c r="D315" s="4">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4">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4">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4">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4">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4">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4">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4">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4">
        <v>160000</v>
      </c>
      <c r="E323">
        <v>0</v>
      </c>
      <c r="F323" t="s">
        <v>31</v>
      </c>
      <c r="G323" t="s">
        <v>28</v>
      </c>
      <c r="H323" t="s">
        <v>18</v>
      </c>
      <c r="I323">
        <v>3</v>
      </c>
      <c r="J323" t="s">
        <v>16</v>
      </c>
      <c r="K323" t="s">
        <v>24</v>
      </c>
      <c r="L323">
        <v>47</v>
      </c>
      <c r="M323" t="str">
        <f t="shared" ref="M323:M386" si="5">IF(L323&gt;59,"Old",IF(L323&gt;=31,"Middle Age",IF(L323&lt;31,"Adolscent","Invalid")))</f>
        <v>Middle Age</v>
      </c>
      <c r="N323" t="s">
        <v>15</v>
      </c>
    </row>
    <row r="324" spans="1:14" x14ac:dyDescent="0.3">
      <c r="A324">
        <v>16410</v>
      </c>
      <c r="B324" t="s">
        <v>37</v>
      </c>
      <c r="C324" t="s">
        <v>38</v>
      </c>
      <c r="D324" s="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4">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4">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4">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4">
        <v>20000</v>
      </c>
      <c r="E328">
        <v>0</v>
      </c>
      <c r="F328" t="s">
        <v>13</v>
      </c>
      <c r="G328" t="s">
        <v>20</v>
      </c>
      <c r="H328" t="s">
        <v>18</v>
      </c>
      <c r="I328">
        <v>0</v>
      </c>
      <c r="J328" t="s">
        <v>16</v>
      </c>
      <c r="K328" t="s">
        <v>24</v>
      </c>
      <c r="L328">
        <v>26</v>
      </c>
      <c r="M328" t="str">
        <f t="shared" si="5"/>
        <v>Adolscent</v>
      </c>
      <c r="N328" t="s">
        <v>15</v>
      </c>
    </row>
    <row r="329" spans="1:14" x14ac:dyDescent="0.3">
      <c r="A329">
        <v>28379</v>
      </c>
      <c r="B329" t="s">
        <v>36</v>
      </c>
      <c r="C329" t="s">
        <v>39</v>
      </c>
      <c r="D329" s="4">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4">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4">
        <v>90000</v>
      </c>
      <c r="E331">
        <v>5</v>
      </c>
      <c r="F331" t="s">
        <v>29</v>
      </c>
      <c r="G331" t="s">
        <v>14</v>
      </c>
      <c r="H331" t="s">
        <v>15</v>
      </c>
      <c r="I331">
        <v>2</v>
      </c>
      <c r="J331" t="s">
        <v>46</v>
      </c>
      <c r="K331" t="s">
        <v>17</v>
      </c>
      <c r="L331">
        <v>59</v>
      </c>
      <c r="M331" t="str">
        <f t="shared" si="5"/>
        <v>Middle Age</v>
      </c>
      <c r="N331" t="s">
        <v>18</v>
      </c>
    </row>
    <row r="332" spans="1:14" x14ac:dyDescent="0.3">
      <c r="A332">
        <v>24898</v>
      </c>
      <c r="B332" t="s">
        <v>37</v>
      </c>
      <c r="C332" t="s">
        <v>38</v>
      </c>
      <c r="D332" s="4">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4">
        <v>10000</v>
      </c>
      <c r="E333">
        <v>0</v>
      </c>
      <c r="F333" t="s">
        <v>29</v>
      </c>
      <c r="G333" t="s">
        <v>25</v>
      </c>
      <c r="H333" t="s">
        <v>18</v>
      </c>
      <c r="I333">
        <v>2</v>
      </c>
      <c r="J333" t="s">
        <v>16</v>
      </c>
      <c r="K333" t="s">
        <v>17</v>
      </c>
      <c r="L333">
        <v>30</v>
      </c>
      <c r="M333" t="str">
        <f t="shared" si="5"/>
        <v>Adolscent</v>
      </c>
      <c r="N333" t="s">
        <v>18</v>
      </c>
    </row>
    <row r="334" spans="1:14" x14ac:dyDescent="0.3">
      <c r="A334">
        <v>11489</v>
      </c>
      <c r="B334" t="s">
        <v>37</v>
      </c>
      <c r="C334" t="s">
        <v>38</v>
      </c>
      <c r="D334" s="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4">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4">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4">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4">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4">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4">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4">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4">
        <v>30000</v>
      </c>
      <c r="E342">
        <v>0</v>
      </c>
      <c r="F342" t="s">
        <v>19</v>
      </c>
      <c r="G342" t="s">
        <v>20</v>
      </c>
      <c r="H342" t="s">
        <v>15</v>
      </c>
      <c r="I342">
        <v>1</v>
      </c>
      <c r="J342" t="s">
        <v>22</v>
      </c>
      <c r="K342" t="s">
        <v>17</v>
      </c>
      <c r="L342">
        <v>30</v>
      </c>
      <c r="M342" t="str">
        <f t="shared" si="5"/>
        <v>Adolscent</v>
      </c>
      <c r="N342" t="s">
        <v>18</v>
      </c>
    </row>
    <row r="343" spans="1:14" x14ac:dyDescent="0.3">
      <c r="A343">
        <v>19174</v>
      </c>
      <c r="B343" t="s">
        <v>37</v>
      </c>
      <c r="C343" t="s">
        <v>38</v>
      </c>
      <c r="D343" s="4">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4">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4">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4">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4">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4">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4">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4">
        <v>30000</v>
      </c>
      <c r="E351">
        <v>0</v>
      </c>
      <c r="F351" t="s">
        <v>19</v>
      </c>
      <c r="G351" t="s">
        <v>20</v>
      </c>
      <c r="H351" t="s">
        <v>18</v>
      </c>
      <c r="I351">
        <v>1</v>
      </c>
      <c r="J351" t="s">
        <v>16</v>
      </c>
      <c r="K351" t="s">
        <v>17</v>
      </c>
      <c r="L351">
        <v>29</v>
      </c>
      <c r="M351" t="str">
        <f t="shared" si="5"/>
        <v>Adolscent</v>
      </c>
      <c r="N351" t="s">
        <v>15</v>
      </c>
    </row>
    <row r="352" spans="1:14" x14ac:dyDescent="0.3">
      <c r="A352">
        <v>27878</v>
      </c>
      <c r="B352" t="s">
        <v>37</v>
      </c>
      <c r="C352" t="s">
        <v>39</v>
      </c>
      <c r="D352" s="4">
        <v>20000</v>
      </c>
      <c r="E352">
        <v>0</v>
      </c>
      <c r="F352" t="s">
        <v>19</v>
      </c>
      <c r="G352" t="s">
        <v>25</v>
      </c>
      <c r="H352" t="s">
        <v>18</v>
      </c>
      <c r="I352">
        <v>0</v>
      </c>
      <c r="J352" t="s">
        <v>16</v>
      </c>
      <c r="K352" t="s">
        <v>24</v>
      </c>
      <c r="L352">
        <v>28</v>
      </c>
      <c r="M352" t="str">
        <f t="shared" si="5"/>
        <v>Adolscent</v>
      </c>
      <c r="N352" t="s">
        <v>15</v>
      </c>
    </row>
    <row r="353" spans="1:14" x14ac:dyDescent="0.3">
      <c r="A353">
        <v>13572</v>
      </c>
      <c r="B353" t="s">
        <v>37</v>
      </c>
      <c r="C353" t="s">
        <v>39</v>
      </c>
      <c r="D353" s="4">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4">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4">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4">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4">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4">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4">
        <v>90000</v>
      </c>
      <c r="E360">
        <v>4</v>
      </c>
      <c r="F360" t="s">
        <v>27</v>
      </c>
      <c r="G360" t="s">
        <v>28</v>
      </c>
      <c r="H360" t="s">
        <v>15</v>
      </c>
      <c r="I360">
        <v>3</v>
      </c>
      <c r="J360" t="s">
        <v>23</v>
      </c>
      <c r="K360" t="s">
        <v>17</v>
      </c>
      <c r="L360">
        <v>58</v>
      </c>
      <c r="M360" t="str">
        <f t="shared" si="5"/>
        <v>Middle Age</v>
      </c>
      <c r="N360" t="s">
        <v>15</v>
      </c>
    </row>
    <row r="361" spans="1:14" x14ac:dyDescent="0.3">
      <c r="A361">
        <v>17230</v>
      </c>
      <c r="B361" t="s">
        <v>36</v>
      </c>
      <c r="C361" t="s">
        <v>39</v>
      </c>
      <c r="D361" s="4">
        <v>80000</v>
      </c>
      <c r="E361">
        <v>0</v>
      </c>
      <c r="F361" t="s">
        <v>13</v>
      </c>
      <c r="G361" t="s">
        <v>21</v>
      </c>
      <c r="H361" t="s">
        <v>15</v>
      </c>
      <c r="I361">
        <v>3</v>
      </c>
      <c r="J361" t="s">
        <v>46</v>
      </c>
      <c r="K361" t="s">
        <v>24</v>
      </c>
      <c r="L361">
        <v>30</v>
      </c>
      <c r="M361" t="str">
        <f t="shared" si="5"/>
        <v>Adolscent</v>
      </c>
      <c r="N361" t="s">
        <v>18</v>
      </c>
    </row>
    <row r="362" spans="1:14" x14ac:dyDescent="0.3">
      <c r="A362">
        <v>13082</v>
      </c>
      <c r="B362" t="s">
        <v>37</v>
      </c>
      <c r="C362" t="s">
        <v>39</v>
      </c>
      <c r="D362" s="4">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4">
        <v>30000</v>
      </c>
      <c r="E363">
        <v>3</v>
      </c>
      <c r="F363" t="s">
        <v>19</v>
      </c>
      <c r="G363" t="s">
        <v>20</v>
      </c>
      <c r="H363" t="s">
        <v>18</v>
      </c>
      <c r="I363">
        <v>2</v>
      </c>
      <c r="J363" t="s">
        <v>16</v>
      </c>
      <c r="K363" t="s">
        <v>17</v>
      </c>
      <c r="L363">
        <v>27</v>
      </c>
      <c r="M363" t="str">
        <f t="shared" si="5"/>
        <v>Adolscent</v>
      </c>
      <c r="N363" t="s">
        <v>15</v>
      </c>
    </row>
    <row r="364" spans="1:14" x14ac:dyDescent="0.3">
      <c r="A364">
        <v>13687</v>
      </c>
      <c r="B364" t="s">
        <v>36</v>
      </c>
      <c r="C364" t="s">
        <v>39</v>
      </c>
      <c r="D364" s="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4">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4">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4">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4">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4">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4">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4">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4">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4">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4">
        <v>20000</v>
      </c>
      <c r="E375">
        <v>0</v>
      </c>
      <c r="F375" t="s">
        <v>27</v>
      </c>
      <c r="G375" t="s">
        <v>25</v>
      </c>
      <c r="H375" t="s">
        <v>18</v>
      </c>
      <c r="I375">
        <v>1</v>
      </c>
      <c r="J375" t="s">
        <v>22</v>
      </c>
      <c r="K375" t="s">
        <v>17</v>
      </c>
      <c r="L375">
        <v>30</v>
      </c>
      <c r="M375" t="str">
        <f t="shared" si="5"/>
        <v>Adolscent</v>
      </c>
      <c r="N375" t="s">
        <v>18</v>
      </c>
    </row>
    <row r="376" spans="1:14" x14ac:dyDescent="0.3">
      <c r="A376">
        <v>16179</v>
      </c>
      <c r="B376" t="s">
        <v>37</v>
      </c>
      <c r="C376" t="s">
        <v>38</v>
      </c>
      <c r="D376" s="4">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4">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4">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4">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4">
        <v>30000</v>
      </c>
      <c r="E380">
        <v>3</v>
      </c>
      <c r="F380" t="s">
        <v>19</v>
      </c>
      <c r="G380" t="s">
        <v>20</v>
      </c>
      <c r="H380" t="s">
        <v>18</v>
      </c>
      <c r="I380">
        <v>2</v>
      </c>
      <c r="J380" t="s">
        <v>23</v>
      </c>
      <c r="K380" t="s">
        <v>24</v>
      </c>
      <c r="L380">
        <v>56</v>
      </c>
      <c r="M380" t="str">
        <f t="shared" si="5"/>
        <v>Middle Age</v>
      </c>
      <c r="N380" t="s">
        <v>18</v>
      </c>
    </row>
    <row r="381" spans="1:14" x14ac:dyDescent="0.3">
      <c r="A381">
        <v>18267</v>
      </c>
      <c r="B381" t="s">
        <v>36</v>
      </c>
      <c r="C381" t="s">
        <v>39</v>
      </c>
      <c r="D381" s="4">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4">
        <v>70000</v>
      </c>
      <c r="E382">
        <v>0</v>
      </c>
      <c r="F382" t="s">
        <v>13</v>
      </c>
      <c r="G382" t="s">
        <v>21</v>
      </c>
      <c r="H382" t="s">
        <v>18</v>
      </c>
      <c r="I382">
        <v>3</v>
      </c>
      <c r="J382" t="s">
        <v>46</v>
      </c>
      <c r="K382" t="s">
        <v>24</v>
      </c>
      <c r="L382">
        <v>30</v>
      </c>
      <c r="M382" t="str">
        <f t="shared" si="5"/>
        <v>Adolscent</v>
      </c>
      <c r="N382" t="s">
        <v>15</v>
      </c>
    </row>
    <row r="383" spans="1:14" x14ac:dyDescent="0.3">
      <c r="A383">
        <v>22974</v>
      </c>
      <c r="B383" t="s">
        <v>36</v>
      </c>
      <c r="C383" t="s">
        <v>38</v>
      </c>
      <c r="D383" s="4">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4">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4">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4">
        <v>10000</v>
      </c>
      <c r="E386">
        <v>0</v>
      </c>
      <c r="F386" t="s">
        <v>19</v>
      </c>
      <c r="G386" t="s">
        <v>25</v>
      </c>
      <c r="H386" t="s">
        <v>18</v>
      </c>
      <c r="I386">
        <v>1</v>
      </c>
      <c r="J386" t="s">
        <v>16</v>
      </c>
      <c r="K386" t="s">
        <v>24</v>
      </c>
      <c r="L386">
        <v>28</v>
      </c>
      <c r="M386" t="str">
        <f t="shared" si="5"/>
        <v>Adolscent</v>
      </c>
      <c r="N386" t="s">
        <v>15</v>
      </c>
    </row>
    <row r="387" spans="1:14" x14ac:dyDescent="0.3">
      <c r="A387">
        <v>18018</v>
      </c>
      <c r="B387" t="s">
        <v>37</v>
      </c>
      <c r="C387" t="s">
        <v>39</v>
      </c>
      <c r="D387" s="4">
        <v>30000</v>
      </c>
      <c r="E387">
        <v>3</v>
      </c>
      <c r="F387" t="s">
        <v>19</v>
      </c>
      <c r="G387" t="s">
        <v>20</v>
      </c>
      <c r="H387" t="s">
        <v>15</v>
      </c>
      <c r="I387">
        <v>0</v>
      </c>
      <c r="J387" t="s">
        <v>16</v>
      </c>
      <c r="K387" t="s">
        <v>17</v>
      </c>
      <c r="L387">
        <v>43</v>
      </c>
      <c r="M387" t="str">
        <f t="shared" ref="M387:M450" si="6">IF(L387&gt;59,"Old",IF(L387&gt;=31,"Middle Age",IF(L387&lt;31,"Adolscent","Invalid")))</f>
        <v>Middle Age</v>
      </c>
      <c r="N387" t="s">
        <v>18</v>
      </c>
    </row>
    <row r="388" spans="1:14" x14ac:dyDescent="0.3">
      <c r="A388">
        <v>28957</v>
      </c>
      <c r="B388" t="s">
        <v>37</v>
      </c>
      <c r="C388" t="s">
        <v>38</v>
      </c>
      <c r="D388" s="4">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4">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4">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4">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4">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4">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4">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4">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4">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4">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4">
        <v>10000</v>
      </c>
      <c r="E399">
        <v>2</v>
      </c>
      <c r="F399" t="s">
        <v>29</v>
      </c>
      <c r="G399" t="s">
        <v>20</v>
      </c>
      <c r="H399" t="s">
        <v>15</v>
      </c>
      <c r="I399">
        <v>2</v>
      </c>
      <c r="J399" t="s">
        <v>23</v>
      </c>
      <c r="K399" t="s">
        <v>24</v>
      </c>
      <c r="L399">
        <v>58</v>
      </c>
      <c r="M399" t="str">
        <f t="shared" si="6"/>
        <v>Middle Age</v>
      </c>
      <c r="N399" t="s">
        <v>18</v>
      </c>
    </row>
    <row r="400" spans="1:14" x14ac:dyDescent="0.3">
      <c r="A400">
        <v>27771</v>
      </c>
      <c r="B400" t="s">
        <v>37</v>
      </c>
      <c r="C400" t="s">
        <v>39</v>
      </c>
      <c r="D400" s="4">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4">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4">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4">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4">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4">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4">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4">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4">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4">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4">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4">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4">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4">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4">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4">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4">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4">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4">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4">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4">
        <v>100000</v>
      </c>
      <c r="E422">
        <v>2</v>
      </c>
      <c r="F422" t="s">
        <v>13</v>
      </c>
      <c r="G422" t="s">
        <v>28</v>
      </c>
      <c r="H422" t="s">
        <v>15</v>
      </c>
      <c r="I422">
        <v>4</v>
      </c>
      <c r="J422" t="s">
        <v>46</v>
      </c>
      <c r="K422" t="s">
        <v>17</v>
      </c>
      <c r="L422">
        <v>59</v>
      </c>
      <c r="M422" t="str">
        <f t="shared" si="6"/>
        <v>Middle Age</v>
      </c>
      <c r="N422" t="s">
        <v>18</v>
      </c>
    </row>
    <row r="423" spans="1:14" x14ac:dyDescent="0.3">
      <c r="A423">
        <v>14547</v>
      </c>
      <c r="B423" t="s">
        <v>36</v>
      </c>
      <c r="C423" t="s">
        <v>39</v>
      </c>
      <c r="D423" s="4">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4">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4">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4">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4">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4">
        <v>30000</v>
      </c>
      <c r="E428">
        <v>0</v>
      </c>
      <c r="F428" t="s">
        <v>19</v>
      </c>
      <c r="G428" t="s">
        <v>20</v>
      </c>
      <c r="H428" t="s">
        <v>18</v>
      </c>
      <c r="I428">
        <v>1</v>
      </c>
      <c r="J428" t="s">
        <v>22</v>
      </c>
      <c r="K428" t="s">
        <v>17</v>
      </c>
      <c r="L428">
        <v>28</v>
      </c>
      <c r="M428" t="str">
        <f t="shared" si="6"/>
        <v>Adolscent</v>
      </c>
      <c r="N428" t="s">
        <v>18</v>
      </c>
    </row>
    <row r="429" spans="1:14" x14ac:dyDescent="0.3">
      <c r="A429">
        <v>17048</v>
      </c>
      <c r="B429" t="s">
        <v>37</v>
      </c>
      <c r="C429" t="s">
        <v>38</v>
      </c>
      <c r="D429" s="4">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4">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4">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4">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4">
        <v>20000</v>
      </c>
      <c r="E433">
        <v>0</v>
      </c>
      <c r="F433" t="s">
        <v>19</v>
      </c>
      <c r="G433" t="s">
        <v>25</v>
      </c>
      <c r="H433" t="s">
        <v>15</v>
      </c>
      <c r="I433">
        <v>0</v>
      </c>
      <c r="J433" t="s">
        <v>16</v>
      </c>
      <c r="K433" t="s">
        <v>24</v>
      </c>
      <c r="L433">
        <v>28</v>
      </c>
      <c r="M433" t="str">
        <f t="shared" si="6"/>
        <v>Adolscent</v>
      </c>
      <c r="N433" t="s">
        <v>15</v>
      </c>
    </row>
    <row r="434" spans="1:14" x14ac:dyDescent="0.3">
      <c r="A434">
        <v>21891</v>
      </c>
      <c r="B434" t="s">
        <v>36</v>
      </c>
      <c r="C434" t="s">
        <v>38</v>
      </c>
      <c r="D434" s="4">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4">
        <v>30000</v>
      </c>
      <c r="E435">
        <v>3</v>
      </c>
      <c r="F435" t="s">
        <v>19</v>
      </c>
      <c r="G435" t="s">
        <v>20</v>
      </c>
      <c r="H435" t="s">
        <v>18</v>
      </c>
      <c r="I435">
        <v>1</v>
      </c>
      <c r="J435" t="s">
        <v>16</v>
      </c>
      <c r="K435" t="s">
        <v>17</v>
      </c>
      <c r="L435">
        <v>26</v>
      </c>
      <c r="M435" t="str">
        <f t="shared" si="6"/>
        <v>Adolscent</v>
      </c>
      <c r="N435" t="s">
        <v>18</v>
      </c>
    </row>
    <row r="436" spans="1:14" x14ac:dyDescent="0.3">
      <c r="A436">
        <v>22175</v>
      </c>
      <c r="B436" t="s">
        <v>36</v>
      </c>
      <c r="C436" t="s">
        <v>38</v>
      </c>
      <c r="D436" s="4">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4">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4">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4">
        <v>30000</v>
      </c>
      <c r="E439">
        <v>3</v>
      </c>
      <c r="F439" t="s">
        <v>19</v>
      </c>
      <c r="G439" t="s">
        <v>20</v>
      </c>
      <c r="H439" t="s">
        <v>15</v>
      </c>
      <c r="I439">
        <v>2</v>
      </c>
      <c r="J439" t="s">
        <v>16</v>
      </c>
      <c r="K439" t="s">
        <v>17</v>
      </c>
      <c r="L439">
        <v>28</v>
      </c>
      <c r="M439" t="str">
        <f t="shared" si="6"/>
        <v>Adolscent</v>
      </c>
      <c r="N439" t="s">
        <v>15</v>
      </c>
    </row>
    <row r="440" spans="1:14" x14ac:dyDescent="0.3">
      <c r="A440">
        <v>24093</v>
      </c>
      <c r="B440" t="s">
        <v>37</v>
      </c>
      <c r="C440" t="s">
        <v>38</v>
      </c>
      <c r="D440" s="4">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4">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4">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4">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4">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4">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4">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4">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4">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4">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4">
        <v>40000</v>
      </c>
      <c r="E451">
        <v>1</v>
      </c>
      <c r="F451" t="s">
        <v>13</v>
      </c>
      <c r="G451" t="s">
        <v>14</v>
      </c>
      <c r="H451" t="s">
        <v>15</v>
      </c>
      <c r="I451">
        <v>0</v>
      </c>
      <c r="J451" t="s">
        <v>16</v>
      </c>
      <c r="K451" t="s">
        <v>17</v>
      </c>
      <c r="L451">
        <v>42</v>
      </c>
      <c r="M451" t="str">
        <f t="shared" ref="M451:M514" si="7">IF(L451&gt;59,"Old",IF(L451&gt;=31,"Middle Age",IF(L451&lt;31,"Adolscent","Invalid")))</f>
        <v>Middle Age</v>
      </c>
      <c r="N451" t="s">
        <v>18</v>
      </c>
    </row>
    <row r="452" spans="1:14" x14ac:dyDescent="0.3">
      <c r="A452">
        <v>16559</v>
      </c>
      <c r="B452" t="s">
        <v>37</v>
      </c>
      <c r="C452" t="s">
        <v>38</v>
      </c>
      <c r="D452" s="4">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4">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4">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4">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4">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4">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4">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4">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4">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4">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4">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4">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4">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4">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4">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4">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4">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4">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4">
        <v>30000</v>
      </c>
      <c r="E472">
        <v>0</v>
      </c>
      <c r="F472" t="s">
        <v>27</v>
      </c>
      <c r="G472" t="s">
        <v>25</v>
      </c>
      <c r="H472" t="s">
        <v>18</v>
      </c>
      <c r="I472">
        <v>1</v>
      </c>
      <c r="J472" t="s">
        <v>26</v>
      </c>
      <c r="K472" t="s">
        <v>17</v>
      </c>
      <c r="L472">
        <v>28</v>
      </c>
      <c r="M472" t="str">
        <f t="shared" si="7"/>
        <v>Adolscent</v>
      </c>
      <c r="N472" t="s">
        <v>18</v>
      </c>
    </row>
    <row r="473" spans="1:14" x14ac:dyDescent="0.3">
      <c r="A473">
        <v>28323</v>
      </c>
      <c r="B473" t="s">
        <v>37</v>
      </c>
      <c r="C473" t="s">
        <v>39</v>
      </c>
      <c r="D473" s="4">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4">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4">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4">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4">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4">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4">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4">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4">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4">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4">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4">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4">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4">
        <v>90000</v>
      </c>
      <c r="E488">
        <v>4</v>
      </c>
      <c r="F488" t="s">
        <v>29</v>
      </c>
      <c r="G488" t="s">
        <v>14</v>
      </c>
      <c r="H488" t="s">
        <v>15</v>
      </c>
      <c r="I488">
        <v>4</v>
      </c>
      <c r="J488" t="s">
        <v>46</v>
      </c>
      <c r="K488" t="s">
        <v>17</v>
      </c>
      <c r="L488">
        <v>58</v>
      </c>
      <c r="M488" t="str">
        <f t="shared" si="7"/>
        <v>Middle Age</v>
      </c>
      <c r="N488" t="s">
        <v>18</v>
      </c>
    </row>
    <row r="489" spans="1:14" x14ac:dyDescent="0.3">
      <c r="A489">
        <v>12821</v>
      </c>
      <c r="B489" t="s">
        <v>36</v>
      </c>
      <c r="C489" t="s">
        <v>39</v>
      </c>
      <c r="D489" s="4">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4">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4">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4">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4">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4">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4">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4">
        <v>60000</v>
      </c>
      <c r="E497">
        <v>2</v>
      </c>
      <c r="F497" t="s">
        <v>19</v>
      </c>
      <c r="G497" t="s">
        <v>21</v>
      </c>
      <c r="H497" t="s">
        <v>15</v>
      </c>
      <c r="I497">
        <v>2</v>
      </c>
      <c r="J497" t="s">
        <v>46</v>
      </c>
      <c r="K497" t="s">
        <v>32</v>
      </c>
      <c r="L497">
        <v>56</v>
      </c>
      <c r="M497" t="str">
        <f t="shared" si="7"/>
        <v>Middle Age</v>
      </c>
      <c r="N497" t="s">
        <v>18</v>
      </c>
    </row>
    <row r="498" spans="1:14" x14ac:dyDescent="0.3">
      <c r="A498">
        <v>20678</v>
      </c>
      <c r="B498" t="s">
        <v>37</v>
      </c>
      <c r="C498" t="s">
        <v>38</v>
      </c>
      <c r="D498" s="4">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4">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4">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4">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4">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4">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4">
        <v>40000</v>
      </c>
      <c r="E504">
        <v>0</v>
      </c>
      <c r="F504" t="s">
        <v>19</v>
      </c>
      <c r="G504" t="s">
        <v>14</v>
      </c>
      <c r="H504" t="s">
        <v>15</v>
      </c>
      <c r="I504">
        <v>1</v>
      </c>
      <c r="J504" t="s">
        <v>23</v>
      </c>
      <c r="K504" t="s">
        <v>32</v>
      </c>
      <c r="L504">
        <v>29</v>
      </c>
      <c r="M504" t="str">
        <f t="shared" si="7"/>
        <v>Adolscent</v>
      </c>
      <c r="N504" t="s">
        <v>18</v>
      </c>
    </row>
    <row r="505" spans="1:14" x14ac:dyDescent="0.3">
      <c r="A505">
        <v>20339</v>
      </c>
      <c r="B505" t="s">
        <v>36</v>
      </c>
      <c r="C505" t="s">
        <v>38</v>
      </c>
      <c r="D505" s="4">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4">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4">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4">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4">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4">
        <v>60000</v>
      </c>
      <c r="E510">
        <v>0</v>
      </c>
      <c r="F510" t="s">
        <v>19</v>
      </c>
      <c r="G510" t="s">
        <v>14</v>
      </c>
      <c r="H510" t="s">
        <v>18</v>
      </c>
      <c r="I510">
        <v>2</v>
      </c>
      <c r="J510" t="s">
        <v>26</v>
      </c>
      <c r="K510" t="s">
        <v>32</v>
      </c>
      <c r="L510">
        <v>29</v>
      </c>
      <c r="M510" t="str">
        <f t="shared" si="7"/>
        <v>Adolscent</v>
      </c>
      <c r="N510" t="s">
        <v>18</v>
      </c>
    </row>
    <row r="511" spans="1:14" x14ac:dyDescent="0.3">
      <c r="A511">
        <v>24357</v>
      </c>
      <c r="B511" t="s">
        <v>36</v>
      </c>
      <c r="C511" t="s">
        <v>39</v>
      </c>
      <c r="D511" s="4">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4">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4">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4">
        <v>60000</v>
      </c>
      <c r="E515">
        <v>4</v>
      </c>
      <c r="F515" t="s">
        <v>31</v>
      </c>
      <c r="G515" t="s">
        <v>28</v>
      </c>
      <c r="H515" t="s">
        <v>15</v>
      </c>
      <c r="I515">
        <v>2</v>
      </c>
      <c r="J515" t="s">
        <v>46</v>
      </c>
      <c r="K515" t="s">
        <v>32</v>
      </c>
      <c r="L515">
        <v>61</v>
      </c>
      <c r="M515" t="str">
        <f t="shared" ref="M515:M578" si="8">IF(L515&gt;59,"Old",IF(L515&gt;=31,"Middle Age",IF(L515&lt;31,"Adolscent","Invalid")))</f>
        <v>Old</v>
      </c>
      <c r="N515" t="s">
        <v>15</v>
      </c>
    </row>
    <row r="516" spans="1:14" x14ac:dyDescent="0.3">
      <c r="A516">
        <v>19399</v>
      </c>
      <c r="B516" t="s">
        <v>37</v>
      </c>
      <c r="C516" t="s">
        <v>39</v>
      </c>
      <c r="D516" s="4">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4">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4">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4">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4">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4">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4">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4">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4">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4">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4">
        <v>60000</v>
      </c>
      <c r="E527">
        <v>5</v>
      </c>
      <c r="F527" t="s">
        <v>13</v>
      </c>
      <c r="G527" t="s">
        <v>28</v>
      </c>
      <c r="H527" t="s">
        <v>15</v>
      </c>
      <c r="I527">
        <v>3</v>
      </c>
      <c r="J527" t="s">
        <v>46</v>
      </c>
      <c r="K527" t="s">
        <v>32</v>
      </c>
      <c r="L527">
        <v>59</v>
      </c>
      <c r="M527" t="str">
        <f t="shared" si="8"/>
        <v>Middle Age</v>
      </c>
      <c r="N527" t="s">
        <v>15</v>
      </c>
    </row>
    <row r="528" spans="1:14" x14ac:dyDescent="0.3">
      <c r="A528">
        <v>15382</v>
      </c>
      <c r="B528" t="s">
        <v>36</v>
      </c>
      <c r="C528" t="s">
        <v>38</v>
      </c>
      <c r="D528" s="4">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4">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4">
        <v>30000</v>
      </c>
      <c r="E530">
        <v>0</v>
      </c>
      <c r="F530" t="s">
        <v>19</v>
      </c>
      <c r="G530" t="s">
        <v>14</v>
      </c>
      <c r="H530" t="s">
        <v>15</v>
      </c>
      <c r="I530">
        <v>1</v>
      </c>
      <c r="J530" t="s">
        <v>23</v>
      </c>
      <c r="K530" t="s">
        <v>32</v>
      </c>
      <c r="L530">
        <v>28</v>
      </c>
      <c r="M530" t="str">
        <f t="shared" si="8"/>
        <v>Adolscent</v>
      </c>
      <c r="N530" t="s">
        <v>18</v>
      </c>
    </row>
    <row r="531" spans="1:14" x14ac:dyDescent="0.3">
      <c r="A531">
        <v>13233</v>
      </c>
      <c r="B531" t="s">
        <v>36</v>
      </c>
      <c r="C531" t="s">
        <v>39</v>
      </c>
      <c r="D531" s="4">
        <v>60000</v>
      </c>
      <c r="E531">
        <v>2</v>
      </c>
      <c r="F531" t="s">
        <v>19</v>
      </c>
      <c r="G531" t="s">
        <v>21</v>
      </c>
      <c r="H531" t="s">
        <v>15</v>
      </c>
      <c r="I531">
        <v>1</v>
      </c>
      <c r="J531" t="s">
        <v>46</v>
      </c>
      <c r="K531" t="s">
        <v>32</v>
      </c>
      <c r="L531">
        <v>57</v>
      </c>
      <c r="M531" t="str">
        <f t="shared" si="8"/>
        <v>Middle Age</v>
      </c>
      <c r="N531" t="s">
        <v>15</v>
      </c>
    </row>
    <row r="532" spans="1:14" x14ac:dyDescent="0.3">
      <c r="A532">
        <v>25909</v>
      </c>
      <c r="B532" t="s">
        <v>36</v>
      </c>
      <c r="C532" t="s">
        <v>39</v>
      </c>
      <c r="D532" s="4">
        <v>60000</v>
      </c>
      <c r="E532">
        <v>0</v>
      </c>
      <c r="F532" t="s">
        <v>19</v>
      </c>
      <c r="G532" t="s">
        <v>14</v>
      </c>
      <c r="H532" t="s">
        <v>15</v>
      </c>
      <c r="I532">
        <v>1</v>
      </c>
      <c r="J532" t="s">
        <v>23</v>
      </c>
      <c r="K532" t="s">
        <v>32</v>
      </c>
      <c r="L532">
        <v>27</v>
      </c>
      <c r="M532" t="str">
        <f t="shared" si="8"/>
        <v>Adolscent</v>
      </c>
      <c r="N532" t="s">
        <v>15</v>
      </c>
    </row>
    <row r="533" spans="1:14" x14ac:dyDescent="0.3">
      <c r="A533">
        <v>14092</v>
      </c>
      <c r="B533" t="s">
        <v>37</v>
      </c>
      <c r="C533" t="s">
        <v>39</v>
      </c>
      <c r="D533" s="4">
        <v>30000</v>
      </c>
      <c r="E533">
        <v>0</v>
      </c>
      <c r="F533" t="s">
        <v>29</v>
      </c>
      <c r="G533" t="s">
        <v>20</v>
      </c>
      <c r="H533" t="s">
        <v>15</v>
      </c>
      <c r="I533">
        <v>2</v>
      </c>
      <c r="J533" t="s">
        <v>23</v>
      </c>
      <c r="K533" t="s">
        <v>32</v>
      </c>
      <c r="L533">
        <v>28</v>
      </c>
      <c r="M533" t="str">
        <f t="shared" si="8"/>
        <v>Adolscent</v>
      </c>
      <c r="N533" t="s">
        <v>18</v>
      </c>
    </row>
    <row r="534" spans="1:14" x14ac:dyDescent="0.3">
      <c r="A534">
        <v>29143</v>
      </c>
      <c r="B534" t="s">
        <v>37</v>
      </c>
      <c r="C534" t="s">
        <v>38</v>
      </c>
      <c r="D534" s="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4">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4">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4">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4">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4">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4">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4">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4">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4">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4">
        <v>40000</v>
      </c>
      <c r="E544">
        <v>0</v>
      </c>
      <c r="F544" t="s">
        <v>27</v>
      </c>
      <c r="G544" t="s">
        <v>14</v>
      </c>
      <c r="H544" t="s">
        <v>15</v>
      </c>
      <c r="I544">
        <v>2</v>
      </c>
      <c r="J544" t="s">
        <v>23</v>
      </c>
      <c r="K544" t="s">
        <v>32</v>
      </c>
      <c r="L544">
        <v>29</v>
      </c>
      <c r="M544" t="str">
        <f t="shared" si="8"/>
        <v>Adolscent</v>
      </c>
      <c r="N544" t="s">
        <v>18</v>
      </c>
    </row>
    <row r="545" spans="1:14" x14ac:dyDescent="0.3">
      <c r="A545">
        <v>25898</v>
      </c>
      <c r="B545" t="s">
        <v>36</v>
      </c>
      <c r="C545" t="s">
        <v>38</v>
      </c>
      <c r="D545" s="4">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4">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4">
        <v>60000</v>
      </c>
      <c r="E547">
        <v>0</v>
      </c>
      <c r="F547" t="s">
        <v>19</v>
      </c>
      <c r="G547" t="s">
        <v>14</v>
      </c>
      <c r="H547" t="s">
        <v>18</v>
      </c>
      <c r="I547">
        <v>2</v>
      </c>
      <c r="J547" t="s">
        <v>26</v>
      </c>
      <c r="K547" t="s">
        <v>32</v>
      </c>
      <c r="L547">
        <v>29</v>
      </c>
      <c r="M547" t="str">
        <f t="shared" si="8"/>
        <v>Adolscent</v>
      </c>
      <c r="N547" t="s">
        <v>18</v>
      </c>
    </row>
    <row r="548" spans="1:14" x14ac:dyDescent="0.3">
      <c r="A548">
        <v>15529</v>
      </c>
      <c r="B548" t="s">
        <v>36</v>
      </c>
      <c r="C548" t="s">
        <v>39</v>
      </c>
      <c r="D548" s="4">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4">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4">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4">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4">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4">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4">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4">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4">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4">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4">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4">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4">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4">
        <v>60000</v>
      </c>
      <c r="E561">
        <v>2</v>
      </c>
      <c r="F561" t="s">
        <v>13</v>
      </c>
      <c r="G561" t="s">
        <v>28</v>
      </c>
      <c r="H561" t="s">
        <v>15</v>
      </c>
      <c r="I561">
        <v>0</v>
      </c>
      <c r="J561" t="s">
        <v>46</v>
      </c>
      <c r="K561" t="s">
        <v>32</v>
      </c>
      <c r="L561">
        <v>58</v>
      </c>
      <c r="M561" t="str">
        <f t="shared" si="8"/>
        <v>Middle Age</v>
      </c>
      <c r="N561" t="s">
        <v>18</v>
      </c>
    </row>
    <row r="562" spans="1:14" x14ac:dyDescent="0.3">
      <c r="A562">
        <v>18577</v>
      </c>
      <c r="B562" t="s">
        <v>36</v>
      </c>
      <c r="C562" t="s">
        <v>38</v>
      </c>
      <c r="D562" s="4">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4">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4">
        <v>30000</v>
      </c>
      <c r="E565">
        <v>0</v>
      </c>
      <c r="F565" t="s">
        <v>19</v>
      </c>
      <c r="G565" t="s">
        <v>14</v>
      </c>
      <c r="H565" t="s">
        <v>15</v>
      </c>
      <c r="I565">
        <v>1</v>
      </c>
      <c r="J565" t="s">
        <v>23</v>
      </c>
      <c r="K565" t="s">
        <v>32</v>
      </c>
      <c r="L565">
        <v>28</v>
      </c>
      <c r="M565" t="str">
        <f t="shared" si="8"/>
        <v>Adolscent</v>
      </c>
      <c r="N565" t="s">
        <v>18</v>
      </c>
    </row>
    <row r="566" spans="1:14" x14ac:dyDescent="0.3">
      <c r="A566">
        <v>17369</v>
      </c>
      <c r="B566" t="s">
        <v>37</v>
      </c>
      <c r="C566" t="s">
        <v>39</v>
      </c>
      <c r="D566" s="4">
        <v>30000</v>
      </c>
      <c r="E566">
        <v>0</v>
      </c>
      <c r="F566" t="s">
        <v>19</v>
      </c>
      <c r="G566" t="s">
        <v>14</v>
      </c>
      <c r="H566" t="s">
        <v>15</v>
      </c>
      <c r="I566">
        <v>1</v>
      </c>
      <c r="J566" t="s">
        <v>23</v>
      </c>
      <c r="K566" t="s">
        <v>32</v>
      </c>
      <c r="L566">
        <v>27</v>
      </c>
      <c r="M566" t="str">
        <f t="shared" si="8"/>
        <v>Adolscent</v>
      </c>
      <c r="N566" t="s">
        <v>18</v>
      </c>
    </row>
    <row r="567" spans="1:14" x14ac:dyDescent="0.3">
      <c r="A567">
        <v>14495</v>
      </c>
      <c r="B567" t="s">
        <v>36</v>
      </c>
      <c r="C567" t="s">
        <v>39</v>
      </c>
      <c r="D567" s="4">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4">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4">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4">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4">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4">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4">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4">
        <v>30000</v>
      </c>
      <c r="E574">
        <v>0</v>
      </c>
      <c r="F574" t="s">
        <v>27</v>
      </c>
      <c r="G574" t="s">
        <v>14</v>
      </c>
      <c r="H574" t="s">
        <v>15</v>
      </c>
      <c r="I574">
        <v>2</v>
      </c>
      <c r="J574" t="s">
        <v>23</v>
      </c>
      <c r="K574" t="s">
        <v>32</v>
      </c>
      <c r="L574">
        <v>30</v>
      </c>
      <c r="M574" t="str">
        <f t="shared" si="8"/>
        <v>Adolscent</v>
      </c>
      <c r="N574" t="s">
        <v>18</v>
      </c>
    </row>
    <row r="575" spans="1:14" x14ac:dyDescent="0.3">
      <c r="A575">
        <v>21751</v>
      </c>
      <c r="B575" t="s">
        <v>36</v>
      </c>
      <c r="C575" t="s">
        <v>39</v>
      </c>
      <c r="D575" s="4">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4">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4">
        <v>60000</v>
      </c>
      <c r="E577">
        <v>2</v>
      </c>
      <c r="F577" t="s">
        <v>19</v>
      </c>
      <c r="G577" t="s">
        <v>21</v>
      </c>
      <c r="H577" t="s">
        <v>15</v>
      </c>
      <c r="I577">
        <v>1</v>
      </c>
      <c r="J577" t="s">
        <v>46</v>
      </c>
      <c r="K577" t="s">
        <v>32</v>
      </c>
      <c r="L577">
        <v>56</v>
      </c>
      <c r="M577" t="str">
        <f t="shared" si="8"/>
        <v>Middle Age</v>
      </c>
      <c r="N577" t="s">
        <v>18</v>
      </c>
    </row>
    <row r="578" spans="1:14" x14ac:dyDescent="0.3">
      <c r="A578">
        <v>18752</v>
      </c>
      <c r="B578" t="s">
        <v>37</v>
      </c>
      <c r="C578" t="s">
        <v>38</v>
      </c>
      <c r="D578" s="4">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4">
        <v>120000</v>
      </c>
      <c r="E579">
        <v>1</v>
      </c>
      <c r="F579" t="s">
        <v>13</v>
      </c>
      <c r="G579" t="s">
        <v>28</v>
      </c>
      <c r="H579" t="s">
        <v>15</v>
      </c>
      <c r="I579">
        <v>4</v>
      </c>
      <c r="J579" t="s">
        <v>16</v>
      </c>
      <c r="K579" t="s">
        <v>32</v>
      </c>
      <c r="L579">
        <v>38</v>
      </c>
      <c r="M579" t="str">
        <f t="shared" ref="M579:M642" si="9">IF(L579&gt;59,"Old",IF(L579&gt;=31,"Middle Age",IF(L579&lt;31,"Adolscent","Invalid")))</f>
        <v>Middle Age</v>
      </c>
      <c r="N579" t="s">
        <v>18</v>
      </c>
    </row>
    <row r="580" spans="1:14" x14ac:dyDescent="0.3">
      <c r="A580">
        <v>15313</v>
      </c>
      <c r="B580" t="s">
        <v>36</v>
      </c>
      <c r="C580" t="s">
        <v>39</v>
      </c>
      <c r="D580" s="4">
        <v>60000</v>
      </c>
      <c r="E580">
        <v>4</v>
      </c>
      <c r="F580" t="s">
        <v>13</v>
      </c>
      <c r="G580" t="s">
        <v>28</v>
      </c>
      <c r="H580" t="s">
        <v>15</v>
      </c>
      <c r="I580">
        <v>2</v>
      </c>
      <c r="J580" t="s">
        <v>22</v>
      </c>
      <c r="K580" t="s">
        <v>32</v>
      </c>
      <c r="L580">
        <v>59</v>
      </c>
      <c r="M580" t="str">
        <f t="shared" si="9"/>
        <v>Middle Age</v>
      </c>
      <c r="N580" t="s">
        <v>18</v>
      </c>
    </row>
    <row r="581" spans="1:14" x14ac:dyDescent="0.3">
      <c r="A581">
        <v>25329</v>
      </c>
      <c r="B581" t="s">
        <v>37</v>
      </c>
      <c r="C581" t="s">
        <v>38</v>
      </c>
      <c r="D581" s="4">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4">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4">
        <v>40000</v>
      </c>
      <c r="E583">
        <v>0</v>
      </c>
      <c r="F583" t="s">
        <v>19</v>
      </c>
      <c r="G583" t="s">
        <v>14</v>
      </c>
      <c r="H583" t="s">
        <v>15</v>
      </c>
      <c r="I583">
        <v>1</v>
      </c>
      <c r="J583" t="s">
        <v>23</v>
      </c>
      <c r="K583" t="s">
        <v>32</v>
      </c>
      <c r="L583">
        <v>28</v>
      </c>
      <c r="M583" t="str">
        <f t="shared" si="9"/>
        <v>Adolscent</v>
      </c>
      <c r="N583" t="s">
        <v>18</v>
      </c>
    </row>
    <row r="584" spans="1:14" x14ac:dyDescent="0.3">
      <c r="A584">
        <v>13749</v>
      </c>
      <c r="B584" t="s">
        <v>36</v>
      </c>
      <c r="C584" t="s">
        <v>39</v>
      </c>
      <c r="D584" s="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4">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4">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4">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4">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4">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4">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4">
        <v>60000</v>
      </c>
      <c r="E591">
        <v>2</v>
      </c>
      <c r="F591" t="s">
        <v>13</v>
      </c>
      <c r="G591" t="s">
        <v>28</v>
      </c>
      <c r="H591" t="s">
        <v>15</v>
      </c>
      <c r="I591">
        <v>0</v>
      </c>
      <c r="J591" t="s">
        <v>46</v>
      </c>
      <c r="K591" t="s">
        <v>32</v>
      </c>
      <c r="L591">
        <v>57</v>
      </c>
      <c r="M591" t="str">
        <f t="shared" si="9"/>
        <v>Middle Age</v>
      </c>
      <c r="N591" t="s">
        <v>18</v>
      </c>
    </row>
    <row r="592" spans="1:14" x14ac:dyDescent="0.3">
      <c r="A592">
        <v>23158</v>
      </c>
      <c r="B592" t="s">
        <v>36</v>
      </c>
      <c r="C592" t="s">
        <v>38</v>
      </c>
      <c r="D592" s="4">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4">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4">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4">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4">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4">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4">
        <v>40000</v>
      </c>
      <c r="E599">
        <v>2</v>
      </c>
      <c r="F599" t="s">
        <v>27</v>
      </c>
      <c r="G599" t="s">
        <v>21</v>
      </c>
      <c r="H599" t="s">
        <v>18</v>
      </c>
      <c r="I599">
        <v>1</v>
      </c>
      <c r="J599" t="s">
        <v>22</v>
      </c>
      <c r="K599" t="s">
        <v>32</v>
      </c>
      <c r="L599">
        <v>58</v>
      </c>
      <c r="M599" t="str">
        <f t="shared" si="9"/>
        <v>Middle Age</v>
      </c>
      <c r="N599" t="s">
        <v>15</v>
      </c>
    </row>
    <row r="600" spans="1:14" x14ac:dyDescent="0.3">
      <c r="A600">
        <v>24398</v>
      </c>
      <c r="B600" t="s">
        <v>36</v>
      </c>
      <c r="C600" t="s">
        <v>39</v>
      </c>
      <c r="D600" s="4">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4">
        <v>60000</v>
      </c>
      <c r="E601">
        <v>2</v>
      </c>
      <c r="F601" t="s">
        <v>19</v>
      </c>
      <c r="G601" t="s">
        <v>21</v>
      </c>
      <c r="H601" t="s">
        <v>15</v>
      </c>
      <c r="I601">
        <v>1</v>
      </c>
      <c r="J601" t="s">
        <v>22</v>
      </c>
      <c r="K601" t="s">
        <v>32</v>
      </c>
      <c r="L601">
        <v>57</v>
      </c>
      <c r="M601" t="str">
        <f t="shared" si="9"/>
        <v>Middle Age</v>
      </c>
      <c r="N601" t="s">
        <v>15</v>
      </c>
    </row>
    <row r="602" spans="1:14" x14ac:dyDescent="0.3">
      <c r="A602">
        <v>28609</v>
      </c>
      <c r="B602" t="s">
        <v>36</v>
      </c>
      <c r="C602" t="s">
        <v>39</v>
      </c>
      <c r="D602" s="4">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4">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4">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4">
        <v>40000</v>
      </c>
      <c r="E606">
        <v>0</v>
      </c>
      <c r="F606" t="s">
        <v>27</v>
      </c>
      <c r="G606" t="s">
        <v>14</v>
      </c>
      <c r="H606" t="s">
        <v>15</v>
      </c>
      <c r="I606">
        <v>2</v>
      </c>
      <c r="J606" t="s">
        <v>23</v>
      </c>
      <c r="K606" t="s">
        <v>32</v>
      </c>
      <c r="L606">
        <v>27</v>
      </c>
      <c r="M606" t="str">
        <f t="shared" si="9"/>
        <v>Adolscent</v>
      </c>
      <c r="N606" t="s">
        <v>18</v>
      </c>
    </row>
    <row r="607" spans="1:14" x14ac:dyDescent="0.3">
      <c r="A607">
        <v>17458</v>
      </c>
      <c r="B607" t="s">
        <v>37</v>
      </c>
      <c r="C607" t="s">
        <v>39</v>
      </c>
      <c r="D607" s="4">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4">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4">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4">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4">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4">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4">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4">
        <v>30000</v>
      </c>
      <c r="E614">
        <v>0</v>
      </c>
      <c r="F614" t="s">
        <v>29</v>
      </c>
      <c r="G614" t="s">
        <v>20</v>
      </c>
      <c r="H614" t="s">
        <v>15</v>
      </c>
      <c r="I614">
        <v>2</v>
      </c>
      <c r="J614" t="s">
        <v>23</v>
      </c>
      <c r="K614" t="s">
        <v>32</v>
      </c>
      <c r="L614">
        <v>27</v>
      </c>
      <c r="M614" t="str">
        <f t="shared" si="9"/>
        <v>Adolscent</v>
      </c>
      <c r="N614" t="s">
        <v>18</v>
      </c>
    </row>
    <row r="615" spans="1:14" x14ac:dyDescent="0.3">
      <c r="A615">
        <v>25184</v>
      </c>
      <c r="B615" t="s">
        <v>37</v>
      </c>
      <c r="C615" t="s">
        <v>39</v>
      </c>
      <c r="D615" s="4">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4">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4">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4">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4">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4">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4">
        <v>40000</v>
      </c>
      <c r="E621">
        <v>0</v>
      </c>
      <c r="F621" t="s">
        <v>27</v>
      </c>
      <c r="G621" t="s">
        <v>14</v>
      </c>
      <c r="H621" t="s">
        <v>15</v>
      </c>
      <c r="I621">
        <v>1</v>
      </c>
      <c r="J621" t="s">
        <v>23</v>
      </c>
      <c r="K621" t="s">
        <v>32</v>
      </c>
      <c r="L621">
        <v>30</v>
      </c>
      <c r="M621" t="str">
        <f t="shared" si="9"/>
        <v>Adolscent</v>
      </c>
      <c r="N621" t="s">
        <v>18</v>
      </c>
    </row>
    <row r="622" spans="1:14" x14ac:dyDescent="0.3">
      <c r="A622">
        <v>11259</v>
      </c>
      <c r="B622" t="s">
        <v>36</v>
      </c>
      <c r="C622" t="s">
        <v>38</v>
      </c>
      <c r="D622" s="4">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4">
        <v>70000</v>
      </c>
      <c r="E623">
        <v>4</v>
      </c>
      <c r="F623" t="s">
        <v>13</v>
      </c>
      <c r="G623" t="s">
        <v>28</v>
      </c>
      <c r="H623" t="s">
        <v>15</v>
      </c>
      <c r="I623">
        <v>1</v>
      </c>
      <c r="J623" t="s">
        <v>26</v>
      </c>
      <c r="K623" t="s">
        <v>32</v>
      </c>
      <c r="L623">
        <v>58</v>
      </c>
      <c r="M623" t="str">
        <f t="shared" si="9"/>
        <v>Middle Age</v>
      </c>
      <c r="N623" t="s">
        <v>18</v>
      </c>
    </row>
    <row r="624" spans="1:14" x14ac:dyDescent="0.3">
      <c r="A624">
        <v>25101</v>
      </c>
      <c r="B624" t="s">
        <v>36</v>
      </c>
      <c r="C624" t="s">
        <v>39</v>
      </c>
      <c r="D624" s="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4">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4">
        <v>70000</v>
      </c>
      <c r="E626">
        <v>0</v>
      </c>
      <c r="F626" t="s">
        <v>19</v>
      </c>
      <c r="G626" t="s">
        <v>14</v>
      </c>
      <c r="H626" t="s">
        <v>18</v>
      </c>
      <c r="I626">
        <v>2</v>
      </c>
      <c r="J626" t="s">
        <v>16</v>
      </c>
      <c r="K626" t="s">
        <v>32</v>
      </c>
      <c r="L626">
        <v>27</v>
      </c>
      <c r="M626" t="str">
        <f t="shared" si="9"/>
        <v>Adolscent</v>
      </c>
      <c r="N626" t="s">
        <v>15</v>
      </c>
    </row>
    <row r="627" spans="1:14" x14ac:dyDescent="0.3">
      <c r="A627">
        <v>22127</v>
      </c>
      <c r="B627" t="s">
        <v>36</v>
      </c>
      <c r="C627" t="s">
        <v>39</v>
      </c>
      <c r="D627" s="4">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4">
        <v>60000</v>
      </c>
      <c r="E628">
        <v>0</v>
      </c>
      <c r="F628" t="s">
        <v>19</v>
      </c>
      <c r="G628" t="s">
        <v>14</v>
      </c>
      <c r="H628" t="s">
        <v>15</v>
      </c>
      <c r="I628">
        <v>2</v>
      </c>
      <c r="J628" t="s">
        <v>23</v>
      </c>
      <c r="K628" t="s">
        <v>32</v>
      </c>
      <c r="L628">
        <v>29</v>
      </c>
      <c r="M628" t="str">
        <f t="shared" si="9"/>
        <v>Adolscent</v>
      </c>
      <c r="N628" t="s">
        <v>18</v>
      </c>
    </row>
    <row r="629" spans="1:14" x14ac:dyDescent="0.3">
      <c r="A629">
        <v>23672</v>
      </c>
      <c r="B629" t="s">
        <v>36</v>
      </c>
      <c r="C629" t="s">
        <v>38</v>
      </c>
      <c r="D629" s="4">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4">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4">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4">
        <v>40000</v>
      </c>
      <c r="E632">
        <v>0</v>
      </c>
      <c r="F632" t="s">
        <v>27</v>
      </c>
      <c r="G632" t="s">
        <v>14</v>
      </c>
      <c r="H632" t="s">
        <v>18</v>
      </c>
      <c r="I632">
        <v>2</v>
      </c>
      <c r="J632" t="s">
        <v>26</v>
      </c>
      <c r="K632" t="s">
        <v>32</v>
      </c>
      <c r="L632">
        <v>30</v>
      </c>
      <c r="M632" t="str">
        <f t="shared" si="9"/>
        <v>Adolscent</v>
      </c>
      <c r="N632" t="s">
        <v>18</v>
      </c>
    </row>
    <row r="633" spans="1:14" x14ac:dyDescent="0.3">
      <c r="A633">
        <v>27643</v>
      </c>
      <c r="B633" t="s">
        <v>37</v>
      </c>
      <c r="C633" t="s">
        <v>39</v>
      </c>
      <c r="D633" s="4">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4">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4">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4">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4">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4">
        <v>40000</v>
      </c>
      <c r="E639">
        <v>0</v>
      </c>
      <c r="F639" t="s">
        <v>27</v>
      </c>
      <c r="G639" t="s">
        <v>14</v>
      </c>
      <c r="H639" t="s">
        <v>18</v>
      </c>
      <c r="I639">
        <v>2</v>
      </c>
      <c r="J639" t="s">
        <v>26</v>
      </c>
      <c r="K639" t="s">
        <v>32</v>
      </c>
      <c r="L639">
        <v>30</v>
      </c>
      <c r="M639" t="str">
        <f t="shared" si="9"/>
        <v>Adolscent</v>
      </c>
      <c r="N639" t="s">
        <v>18</v>
      </c>
    </row>
    <row r="640" spans="1:14" x14ac:dyDescent="0.3">
      <c r="A640">
        <v>18949</v>
      </c>
      <c r="B640" t="s">
        <v>37</v>
      </c>
      <c r="C640" t="s">
        <v>39</v>
      </c>
      <c r="D640" s="4">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4">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4">
        <v>60000</v>
      </c>
      <c r="E642">
        <v>2</v>
      </c>
      <c r="F642" t="s">
        <v>19</v>
      </c>
      <c r="G642" t="s">
        <v>21</v>
      </c>
      <c r="H642" t="s">
        <v>15</v>
      </c>
      <c r="I642">
        <v>2</v>
      </c>
      <c r="J642" t="s">
        <v>22</v>
      </c>
      <c r="K642" t="s">
        <v>32</v>
      </c>
      <c r="L642">
        <v>56</v>
      </c>
      <c r="M642" t="str">
        <f t="shared" si="9"/>
        <v>Middle Age</v>
      </c>
      <c r="N642" t="s">
        <v>15</v>
      </c>
    </row>
    <row r="643" spans="1:14" x14ac:dyDescent="0.3">
      <c r="A643">
        <v>21441</v>
      </c>
      <c r="B643" t="s">
        <v>36</v>
      </c>
      <c r="C643" t="s">
        <v>39</v>
      </c>
      <c r="D643" s="4">
        <v>50000</v>
      </c>
      <c r="E643">
        <v>4</v>
      </c>
      <c r="F643" t="s">
        <v>13</v>
      </c>
      <c r="G643" t="s">
        <v>28</v>
      </c>
      <c r="H643" t="s">
        <v>15</v>
      </c>
      <c r="I643">
        <v>2</v>
      </c>
      <c r="J643" t="s">
        <v>46</v>
      </c>
      <c r="K643" t="s">
        <v>32</v>
      </c>
      <c r="L643">
        <v>64</v>
      </c>
      <c r="M643" t="str">
        <f t="shared" ref="M643:M706" si="10">IF(L643&gt;59,"Old",IF(L643&gt;=31,"Middle Age",IF(L643&lt;31,"Adolscent","Invalid")))</f>
        <v>Old</v>
      </c>
      <c r="N643" t="s">
        <v>18</v>
      </c>
    </row>
    <row r="644" spans="1:14" x14ac:dyDescent="0.3">
      <c r="A644">
        <v>21741</v>
      </c>
      <c r="B644" t="s">
        <v>36</v>
      </c>
      <c r="C644" t="s">
        <v>38</v>
      </c>
      <c r="D644" s="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4">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4">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4">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4">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4">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4">
        <v>70000</v>
      </c>
      <c r="E650">
        <v>2</v>
      </c>
      <c r="F650" t="s">
        <v>13</v>
      </c>
      <c r="G650" t="s">
        <v>28</v>
      </c>
      <c r="H650" t="s">
        <v>18</v>
      </c>
      <c r="I650">
        <v>1</v>
      </c>
      <c r="J650" t="s">
        <v>22</v>
      </c>
      <c r="K650" t="s">
        <v>32</v>
      </c>
      <c r="L650">
        <v>58</v>
      </c>
      <c r="M650" t="str">
        <f t="shared" si="10"/>
        <v>Middle Age</v>
      </c>
      <c r="N650" t="s">
        <v>15</v>
      </c>
    </row>
    <row r="651" spans="1:14" x14ac:dyDescent="0.3">
      <c r="A651">
        <v>19164</v>
      </c>
      <c r="B651" t="s">
        <v>37</v>
      </c>
      <c r="C651" t="s">
        <v>38</v>
      </c>
      <c r="D651" s="4">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4">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4">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4">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4">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4">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4">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4">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4">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4">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4">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4">
        <v>40000</v>
      </c>
      <c r="E663">
        <v>0</v>
      </c>
      <c r="F663" t="s">
        <v>27</v>
      </c>
      <c r="G663" t="s">
        <v>14</v>
      </c>
      <c r="H663" t="s">
        <v>18</v>
      </c>
      <c r="I663">
        <v>2</v>
      </c>
      <c r="J663" t="s">
        <v>16</v>
      </c>
      <c r="K663" t="s">
        <v>32</v>
      </c>
      <c r="L663">
        <v>28</v>
      </c>
      <c r="M663" t="str">
        <f t="shared" si="10"/>
        <v>Adolscent</v>
      </c>
      <c r="N663" t="s">
        <v>15</v>
      </c>
    </row>
    <row r="664" spans="1:14" x14ac:dyDescent="0.3">
      <c r="A664">
        <v>27637</v>
      </c>
      <c r="B664" t="s">
        <v>37</v>
      </c>
      <c r="C664" t="s">
        <v>38</v>
      </c>
      <c r="D664" s="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4">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4">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4">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4">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4">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4">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4">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4">
        <v>70000</v>
      </c>
      <c r="E672">
        <v>2</v>
      </c>
      <c r="F672" t="s">
        <v>19</v>
      </c>
      <c r="G672" t="s">
        <v>21</v>
      </c>
      <c r="H672" t="s">
        <v>15</v>
      </c>
      <c r="I672">
        <v>1</v>
      </c>
      <c r="J672" t="s">
        <v>46</v>
      </c>
      <c r="K672" t="s">
        <v>32</v>
      </c>
      <c r="L672">
        <v>59</v>
      </c>
      <c r="M672" t="str">
        <f t="shared" si="10"/>
        <v>Middle Age</v>
      </c>
      <c r="N672" t="s">
        <v>18</v>
      </c>
    </row>
    <row r="673" spans="1:14" x14ac:dyDescent="0.3">
      <c r="A673">
        <v>22252</v>
      </c>
      <c r="B673" t="s">
        <v>37</v>
      </c>
      <c r="C673" t="s">
        <v>38</v>
      </c>
      <c r="D673" s="4">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4">
        <v>40000</v>
      </c>
      <c r="E674">
        <v>0</v>
      </c>
      <c r="F674" t="s">
        <v>27</v>
      </c>
      <c r="G674" t="s">
        <v>14</v>
      </c>
      <c r="H674" t="s">
        <v>15</v>
      </c>
      <c r="I674">
        <v>2</v>
      </c>
      <c r="J674" t="s">
        <v>23</v>
      </c>
      <c r="K674" t="s">
        <v>32</v>
      </c>
      <c r="L674">
        <v>30</v>
      </c>
      <c r="M674" t="str">
        <f t="shared" si="10"/>
        <v>Adolscent</v>
      </c>
      <c r="N674" t="s">
        <v>18</v>
      </c>
    </row>
    <row r="675" spans="1:14" x14ac:dyDescent="0.3">
      <c r="A675">
        <v>11817</v>
      </c>
      <c r="B675" t="s">
        <v>37</v>
      </c>
      <c r="C675" t="s">
        <v>38</v>
      </c>
      <c r="D675" s="4">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4">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4">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4">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4">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4">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4">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4">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4">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4">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4">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4">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4">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4">
        <v>30000</v>
      </c>
      <c r="E689">
        <v>0</v>
      </c>
      <c r="F689" t="s">
        <v>19</v>
      </c>
      <c r="G689" t="s">
        <v>14</v>
      </c>
      <c r="H689" t="s">
        <v>15</v>
      </c>
      <c r="I689">
        <v>2</v>
      </c>
      <c r="J689" t="s">
        <v>23</v>
      </c>
      <c r="K689" t="s">
        <v>32</v>
      </c>
      <c r="L689">
        <v>30</v>
      </c>
      <c r="M689" t="str">
        <f t="shared" si="10"/>
        <v>Adolscent</v>
      </c>
      <c r="N689" t="s">
        <v>18</v>
      </c>
    </row>
    <row r="690" spans="1:14" x14ac:dyDescent="0.3">
      <c r="A690">
        <v>11699</v>
      </c>
      <c r="B690" t="s">
        <v>37</v>
      </c>
      <c r="C690" t="s">
        <v>39</v>
      </c>
      <c r="D690" s="4">
        <v>60000</v>
      </c>
      <c r="E690">
        <v>0</v>
      </c>
      <c r="F690" t="s">
        <v>13</v>
      </c>
      <c r="G690" t="s">
        <v>14</v>
      </c>
      <c r="H690" t="s">
        <v>18</v>
      </c>
      <c r="I690">
        <v>2</v>
      </c>
      <c r="J690" t="s">
        <v>16</v>
      </c>
      <c r="K690" t="s">
        <v>32</v>
      </c>
      <c r="L690">
        <v>30</v>
      </c>
      <c r="M690" t="str">
        <f t="shared" si="10"/>
        <v>Adolscent</v>
      </c>
      <c r="N690" t="s">
        <v>18</v>
      </c>
    </row>
    <row r="691" spans="1:14" x14ac:dyDescent="0.3">
      <c r="A691">
        <v>16725</v>
      </c>
      <c r="B691" t="s">
        <v>36</v>
      </c>
      <c r="C691" t="s">
        <v>39</v>
      </c>
      <c r="D691" s="4">
        <v>30000</v>
      </c>
      <c r="E691">
        <v>0</v>
      </c>
      <c r="F691" t="s">
        <v>27</v>
      </c>
      <c r="G691" t="s">
        <v>14</v>
      </c>
      <c r="H691" t="s">
        <v>15</v>
      </c>
      <c r="I691">
        <v>2</v>
      </c>
      <c r="J691" t="s">
        <v>23</v>
      </c>
      <c r="K691" t="s">
        <v>32</v>
      </c>
      <c r="L691">
        <v>26</v>
      </c>
      <c r="M691" t="str">
        <f t="shared" si="10"/>
        <v>Adolscent</v>
      </c>
      <c r="N691" t="s">
        <v>18</v>
      </c>
    </row>
    <row r="692" spans="1:14" x14ac:dyDescent="0.3">
      <c r="A692">
        <v>28269</v>
      </c>
      <c r="B692" t="s">
        <v>37</v>
      </c>
      <c r="C692" t="s">
        <v>38</v>
      </c>
      <c r="D692" s="4">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4">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4">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4">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4">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4">
        <v>60000</v>
      </c>
      <c r="E698">
        <v>0</v>
      </c>
      <c r="F698" t="s">
        <v>19</v>
      </c>
      <c r="G698" t="s">
        <v>21</v>
      </c>
      <c r="H698" t="s">
        <v>18</v>
      </c>
      <c r="I698">
        <v>2</v>
      </c>
      <c r="J698" t="s">
        <v>26</v>
      </c>
      <c r="K698" t="s">
        <v>32</v>
      </c>
      <c r="L698">
        <v>30</v>
      </c>
      <c r="M698" t="str">
        <f t="shared" si="10"/>
        <v>Adolscent</v>
      </c>
      <c r="N698" t="s">
        <v>18</v>
      </c>
    </row>
    <row r="699" spans="1:14" x14ac:dyDescent="0.3">
      <c r="A699">
        <v>14090</v>
      </c>
      <c r="B699" t="s">
        <v>36</v>
      </c>
      <c r="C699" t="s">
        <v>38</v>
      </c>
      <c r="D699" s="4">
        <v>30000</v>
      </c>
      <c r="E699">
        <v>0</v>
      </c>
      <c r="F699" t="s">
        <v>29</v>
      </c>
      <c r="G699" t="s">
        <v>20</v>
      </c>
      <c r="H699" t="s">
        <v>18</v>
      </c>
      <c r="I699">
        <v>2</v>
      </c>
      <c r="J699" t="s">
        <v>16</v>
      </c>
      <c r="K699" t="s">
        <v>32</v>
      </c>
      <c r="L699">
        <v>28</v>
      </c>
      <c r="M699" t="str">
        <f t="shared" si="10"/>
        <v>Adolscent</v>
      </c>
      <c r="N699" t="s">
        <v>18</v>
      </c>
    </row>
    <row r="700" spans="1:14" x14ac:dyDescent="0.3">
      <c r="A700">
        <v>27040</v>
      </c>
      <c r="B700" t="s">
        <v>36</v>
      </c>
      <c r="C700" t="s">
        <v>39</v>
      </c>
      <c r="D700" s="4">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4">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4">
        <v>70000</v>
      </c>
      <c r="E702">
        <v>4</v>
      </c>
      <c r="F702" t="s">
        <v>13</v>
      </c>
      <c r="G702" t="s">
        <v>28</v>
      </c>
      <c r="H702" t="s">
        <v>15</v>
      </c>
      <c r="I702">
        <v>1</v>
      </c>
      <c r="J702" t="s">
        <v>26</v>
      </c>
      <c r="K702" t="s">
        <v>32</v>
      </c>
      <c r="L702">
        <v>59</v>
      </c>
      <c r="M702" t="str">
        <f t="shared" si="10"/>
        <v>Middle Age</v>
      </c>
      <c r="N702" t="s">
        <v>18</v>
      </c>
    </row>
    <row r="703" spans="1:14" x14ac:dyDescent="0.3">
      <c r="A703">
        <v>22014</v>
      </c>
      <c r="B703" t="s">
        <v>37</v>
      </c>
      <c r="C703" t="s">
        <v>39</v>
      </c>
      <c r="D703" s="4">
        <v>30000</v>
      </c>
      <c r="E703">
        <v>0</v>
      </c>
      <c r="F703" t="s">
        <v>27</v>
      </c>
      <c r="G703" t="s">
        <v>14</v>
      </c>
      <c r="H703" t="s">
        <v>15</v>
      </c>
      <c r="I703">
        <v>2</v>
      </c>
      <c r="J703" t="s">
        <v>23</v>
      </c>
      <c r="K703" t="s">
        <v>32</v>
      </c>
      <c r="L703">
        <v>26</v>
      </c>
      <c r="M703" t="str">
        <f t="shared" si="10"/>
        <v>Adolscent</v>
      </c>
      <c r="N703" t="s">
        <v>18</v>
      </c>
    </row>
    <row r="704" spans="1:14" x14ac:dyDescent="0.3">
      <c r="A704">
        <v>13314</v>
      </c>
      <c r="B704" t="s">
        <v>36</v>
      </c>
      <c r="C704" t="s">
        <v>39</v>
      </c>
      <c r="D704" s="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4">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4">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4">
        <v>70000</v>
      </c>
      <c r="E707">
        <v>4</v>
      </c>
      <c r="F707" t="s">
        <v>13</v>
      </c>
      <c r="G707" t="s">
        <v>28</v>
      </c>
      <c r="H707" t="s">
        <v>15</v>
      </c>
      <c r="I707">
        <v>1</v>
      </c>
      <c r="J707" t="s">
        <v>46</v>
      </c>
      <c r="K707" t="s">
        <v>32</v>
      </c>
      <c r="L707">
        <v>59</v>
      </c>
      <c r="M707" t="str">
        <f t="shared" ref="M707:M770" si="11">IF(L707&gt;59,"Old",IF(L707&gt;=31,"Middle Age",IF(L707&lt;31,"Adolscent","Invalid")))</f>
        <v>Middle Age</v>
      </c>
      <c r="N707" t="s">
        <v>18</v>
      </c>
    </row>
    <row r="708" spans="1:14" x14ac:dyDescent="0.3">
      <c r="A708">
        <v>20296</v>
      </c>
      <c r="B708" t="s">
        <v>37</v>
      </c>
      <c r="C708" t="s">
        <v>38</v>
      </c>
      <c r="D708" s="4">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4">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4">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4">
        <v>70000</v>
      </c>
      <c r="E711">
        <v>2</v>
      </c>
      <c r="F711" t="s">
        <v>13</v>
      </c>
      <c r="G711" t="s">
        <v>28</v>
      </c>
      <c r="H711" t="s">
        <v>15</v>
      </c>
      <c r="I711">
        <v>1</v>
      </c>
      <c r="J711" t="s">
        <v>46</v>
      </c>
      <c r="K711" t="s">
        <v>32</v>
      </c>
      <c r="L711">
        <v>59</v>
      </c>
      <c r="M711" t="str">
        <f t="shared" si="11"/>
        <v>Middle Age</v>
      </c>
      <c r="N711" t="s">
        <v>18</v>
      </c>
    </row>
    <row r="712" spans="1:14" x14ac:dyDescent="0.3">
      <c r="A712">
        <v>23358</v>
      </c>
      <c r="B712" t="s">
        <v>36</v>
      </c>
      <c r="C712" t="s">
        <v>39</v>
      </c>
      <c r="D712" s="4">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4">
        <v>70000</v>
      </c>
      <c r="E713">
        <v>2</v>
      </c>
      <c r="F713" t="s">
        <v>19</v>
      </c>
      <c r="G713" t="s">
        <v>21</v>
      </c>
      <c r="H713" t="s">
        <v>15</v>
      </c>
      <c r="I713">
        <v>1</v>
      </c>
      <c r="J713" t="s">
        <v>46</v>
      </c>
      <c r="K713" t="s">
        <v>32</v>
      </c>
      <c r="L713">
        <v>58</v>
      </c>
      <c r="M713" t="str">
        <f t="shared" si="11"/>
        <v>Middle Age</v>
      </c>
      <c r="N713" t="s">
        <v>18</v>
      </c>
    </row>
    <row r="714" spans="1:14" x14ac:dyDescent="0.3">
      <c r="A714">
        <v>28026</v>
      </c>
      <c r="B714" t="s">
        <v>36</v>
      </c>
      <c r="C714" t="s">
        <v>38</v>
      </c>
      <c r="D714" s="4">
        <v>40000</v>
      </c>
      <c r="E714">
        <v>2</v>
      </c>
      <c r="F714" t="s">
        <v>27</v>
      </c>
      <c r="G714" t="s">
        <v>21</v>
      </c>
      <c r="H714" t="s">
        <v>18</v>
      </c>
      <c r="I714">
        <v>2</v>
      </c>
      <c r="J714" t="s">
        <v>22</v>
      </c>
      <c r="K714" t="s">
        <v>32</v>
      </c>
      <c r="L714">
        <v>59</v>
      </c>
      <c r="M714" t="str">
        <f t="shared" si="11"/>
        <v>Middle Age</v>
      </c>
      <c r="N714" t="s">
        <v>18</v>
      </c>
    </row>
    <row r="715" spans="1:14" x14ac:dyDescent="0.3">
      <c r="A715">
        <v>11669</v>
      </c>
      <c r="B715" t="s">
        <v>37</v>
      </c>
      <c r="C715" t="s">
        <v>38</v>
      </c>
      <c r="D715" s="4">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4">
        <v>40000</v>
      </c>
      <c r="E716">
        <v>0</v>
      </c>
      <c r="F716" t="s">
        <v>27</v>
      </c>
      <c r="G716" t="s">
        <v>14</v>
      </c>
      <c r="H716" t="s">
        <v>15</v>
      </c>
      <c r="I716">
        <v>2</v>
      </c>
      <c r="J716" t="s">
        <v>23</v>
      </c>
      <c r="K716" t="s">
        <v>32</v>
      </c>
      <c r="L716">
        <v>28</v>
      </c>
      <c r="M716" t="str">
        <f t="shared" si="11"/>
        <v>Adolscent</v>
      </c>
      <c r="N716" t="s">
        <v>15</v>
      </c>
    </row>
    <row r="717" spans="1:14" x14ac:dyDescent="0.3">
      <c r="A717">
        <v>27090</v>
      </c>
      <c r="B717" t="s">
        <v>36</v>
      </c>
      <c r="C717" t="s">
        <v>38</v>
      </c>
      <c r="D717" s="4">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4">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4">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4">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4">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4">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4">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4">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4">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4">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4">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4">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4">
        <v>40000</v>
      </c>
      <c r="E730">
        <v>0</v>
      </c>
      <c r="F730" t="s">
        <v>27</v>
      </c>
      <c r="G730" t="s">
        <v>14</v>
      </c>
      <c r="H730" t="s">
        <v>15</v>
      </c>
      <c r="I730">
        <v>2</v>
      </c>
      <c r="J730" t="s">
        <v>23</v>
      </c>
      <c r="K730" t="s">
        <v>32</v>
      </c>
      <c r="L730">
        <v>27</v>
      </c>
      <c r="M730" t="str">
        <f t="shared" si="11"/>
        <v>Adolscent</v>
      </c>
      <c r="N730" t="s">
        <v>18</v>
      </c>
    </row>
    <row r="731" spans="1:14" x14ac:dyDescent="0.3">
      <c r="A731">
        <v>11886</v>
      </c>
      <c r="B731" t="s">
        <v>36</v>
      </c>
      <c r="C731" t="s">
        <v>38</v>
      </c>
      <c r="D731" s="4">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4">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4">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4">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4">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4">
        <v>30000</v>
      </c>
      <c r="E737">
        <v>0</v>
      </c>
      <c r="F737" t="s">
        <v>19</v>
      </c>
      <c r="G737" t="s">
        <v>14</v>
      </c>
      <c r="H737" t="s">
        <v>15</v>
      </c>
      <c r="I737">
        <v>1</v>
      </c>
      <c r="J737" t="s">
        <v>23</v>
      </c>
      <c r="K737" t="s">
        <v>32</v>
      </c>
      <c r="L737">
        <v>26</v>
      </c>
      <c r="M737" t="str">
        <f t="shared" si="11"/>
        <v>Adolscent</v>
      </c>
      <c r="N737" t="s">
        <v>18</v>
      </c>
    </row>
    <row r="738" spans="1:14" x14ac:dyDescent="0.3">
      <c r="A738">
        <v>19634</v>
      </c>
      <c r="B738" t="s">
        <v>36</v>
      </c>
      <c r="C738" t="s">
        <v>39</v>
      </c>
      <c r="D738" s="4">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4">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4">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4">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39</v>
      </c>
      <c r="D742" s="4">
        <v>40000</v>
      </c>
      <c r="E742">
        <v>4</v>
      </c>
      <c r="F742" t="s">
        <v>19</v>
      </c>
      <c r="G742" t="s">
        <v>20</v>
      </c>
      <c r="H742" t="s">
        <v>18</v>
      </c>
      <c r="I742">
        <v>0</v>
      </c>
      <c r="J742" t="s">
        <v>16</v>
      </c>
      <c r="K742" t="s">
        <v>32</v>
      </c>
      <c r="L742">
        <v>30</v>
      </c>
      <c r="M742" t="str">
        <f t="shared" si="11"/>
        <v>Adolscent</v>
      </c>
      <c r="N742" t="s">
        <v>18</v>
      </c>
    </row>
    <row r="743" spans="1:14" x14ac:dyDescent="0.3">
      <c r="A743">
        <v>14913</v>
      </c>
      <c r="B743" t="s">
        <v>36</v>
      </c>
      <c r="C743" t="s">
        <v>38</v>
      </c>
      <c r="D743" s="4">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4">
        <v>30000</v>
      </c>
      <c r="E744">
        <v>0</v>
      </c>
      <c r="F744" t="s">
        <v>27</v>
      </c>
      <c r="G744" t="s">
        <v>14</v>
      </c>
      <c r="H744" t="s">
        <v>15</v>
      </c>
      <c r="I744">
        <v>2</v>
      </c>
      <c r="J744" t="s">
        <v>23</v>
      </c>
      <c r="K744" t="s">
        <v>32</v>
      </c>
      <c r="L744">
        <v>30</v>
      </c>
      <c r="M744" t="str">
        <f t="shared" si="11"/>
        <v>Adolscent</v>
      </c>
      <c r="N744" t="s">
        <v>18</v>
      </c>
    </row>
    <row r="745" spans="1:14" x14ac:dyDescent="0.3">
      <c r="A745">
        <v>13296</v>
      </c>
      <c r="B745" t="s">
        <v>36</v>
      </c>
      <c r="C745" t="s">
        <v>39</v>
      </c>
      <c r="D745" s="4">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4">
        <v>70000</v>
      </c>
      <c r="E746">
        <v>4</v>
      </c>
      <c r="F746" t="s">
        <v>19</v>
      </c>
      <c r="G746" t="s">
        <v>21</v>
      </c>
      <c r="H746" t="s">
        <v>15</v>
      </c>
      <c r="I746">
        <v>1</v>
      </c>
      <c r="J746" t="s">
        <v>46</v>
      </c>
      <c r="K746" t="s">
        <v>32</v>
      </c>
      <c r="L746">
        <v>56</v>
      </c>
      <c r="M746" t="str">
        <f t="shared" si="11"/>
        <v>Middle Age</v>
      </c>
      <c r="N746" t="s">
        <v>18</v>
      </c>
    </row>
    <row r="747" spans="1:14" x14ac:dyDescent="0.3">
      <c r="A747">
        <v>12452</v>
      </c>
      <c r="B747" t="s">
        <v>36</v>
      </c>
      <c r="C747" t="s">
        <v>39</v>
      </c>
      <c r="D747" s="4">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4">
        <v>60000</v>
      </c>
      <c r="E748">
        <v>2</v>
      </c>
      <c r="F748" t="s">
        <v>13</v>
      </c>
      <c r="G748" t="s">
        <v>28</v>
      </c>
      <c r="H748" t="s">
        <v>15</v>
      </c>
      <c r="I748">
        <v>0</v>
      </c>
      <c r="J748" t="s">
        <v>46</v>
      </c>
      <c r="K748" t="s">
        <v>32</v>
      </c>
      <c r="L748">
        <v>56</v>
      </c>
      <c r="M748" t="str">
        <f t="shared" si="11"/>
        <v>Middle Age</v>
      </c>
      <c r="N748" t="s">
        <v>18</v>
      </c>
    </row>
    <row r="749" spans="1:14" x14ac:dyDescent="0.3">
      <c r="A749">
        <v>12957</v>
      </c>
      <c r="B749" t="s">
        <v>37</v>
      </c>
      <c r="C749" t="s">
        <v>38</v>
      </c>
      <c r="D749" s="4">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4">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4">
        <v>70000</v>
      </c>
      <c r="E751">
        <v>2</v>
      </c>
      <c r="F751" t="s">
        <v>19</v>
      </c>
      <c r="G751" t="s">
        <v>21</v>
      </c>
      <c r="H751" t="s">
        <v>15</v>
      </c>
      <c r="I751">
        <v>1</v>
      </c>
      <c r="J751" t="s">
        <v>22</v>
      </c>
      <c r="K751" t="s">
        <v>32</v>
      </c>
      <c r="L751">
        <v>59</v>
      </c>
      <c r="M751" t="str">
        <f t="shared" si="11"/>
        <v>Middle Age</v>
      </c>
      <c r="N751" t="s">
        <v>18</v>
      </c>
    </row>
    <row r="752" spans="1:14" x14ac:dyDescent="0.3">
      <c r="A752">
        <v>20758</v>
      </c>
      <c r="B752" t="s">
        <v>36</v>
      </c>
      <c r="C752" t="s">
        <v>39</v>
      </c>
      <c r="D752" s="4">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4">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4">
        <v>40000</v>
      </c>
      <c r="E755">
        <v>0</v>
      </c>
      <c r="F755" t="s">
        <v>19</v>
      </c>
      <c r="G755" t="s">
        <v>14</v>
      </c>
      <c r="H755" t="s">
        <v>18</v>
      </c>
      <c r="I755">
        <v>1</v>
      </c>
      <c r="J755" t="s">
        <v>26</v>
      </c>
      <c r="K755" t="s">
        <v>32</v>
      </c>
      <c r="L755">
        <v>27</v>
      </c>
      <c r="M755" t="str">
        <f t="shared" si="11"/>
        <v>Adolscent</v>
      </c>
      <c r="N755" t="s">
        <v>18</v>
      </c>
    </row>
    <row r="756" spans="1:14" x14ac:dyDescent="0.3">
      <c r="A756">
        <v>23668</v>
      </c>
      <c r="B756" t="s">
        <v>36</v>
      </c>
      <c r="C756" t="s">
        <v>38</v>
      </c>
      <c r="D756" s="4">
        <v>40000</v>
      </c>
      <c r="E756">
        <v>4</v>
      </c>
      <c r="F756" t="s">
        <v>27</v>
      </c>
      <c r="G756" t="s">
        <v>21</v>
      </c>
      <c r="H756" t="s">
        <v>15</v>
      </c>
      <c r="I756">
        <v>2</v>
      </c>
      <c r="J756" t="s">
        <v>23</v>
      </c>
      <c r="K756" t="s">
        <v>32</v>
      </c>
      <c r="L756">
        <v>59</v>
      </c>
      <c r="M756" t="str">
        <f t="shared" si="11"/>
        <v>Middle Age</v>
      </c>
      <c r="N756" t="s">
        <v>15</v>
      </c>
    </row>
    <row r="757" spans="1:14" x14ac:dyDescent="0.3">
      <c r="A757">
        <v>27441</v>
      </c>
      <c r="B757" t="s">
        <v>36</v>
      </c>
      <c r="C757" t="s">
        <v>39</v>
      </c>
      <c r="D757" s="4">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4">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4">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4">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4">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4">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4">
        <v>60000</v>
      </c>
      <c r="E763">
        <v>5</v>
      </c>
      <c r="F763" t="s">
        <v>13</v>
      </c>
      <c r="G763" t="s">
        <v>28</v>
      </c>
      <c r="H763" t="s">
        <v>15</v>
      </c>
      <c r="I763">
        <v>3</v>
      </c>
      <c r="J763" t="s">
        <v>46</v>
      </c>
      <c r="K763" t="s">
        <v>32</v>
      </c>
      <c r="L763">
        <v>59</v>
      </c>
      <c r="M763" t="str">
        <f t="shared" si="11"/>
        <v>Middle Age</v>
      </c>
      <c r="N763" t="s">
        <v>18</v>
      </c>
    </row>
    <row r="764" spans="1:14" x14ac:dyDescent="0.3">
      <c r="A764">
        <v>20657</v>
      </c>
      <c r="B764" t="s">
        <v>37</v>
      </c>
      <c r="C764" t="s">
        <v>39</v>
      </c>
      <c r="D764" s="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4">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4">
        <v>60000</v>
      </c>
      <c r="E766">
        <v>0</v>
      </c>
      <c r="F766" t="s">
        <v>19</v>
      </c>
      <c r="G766" t="s">
        <v>14</v>
      </c>
      <c r="H766" t="s">
        <v>18</v>
      </c>
      <c r="I766">
        <v>1</v>
      </c>
      <c r="J766" t="s">
        <v>26</v>
      </c>
      <c r="K766" t="s">
        <v>32</v>
      </c>
      <c r="L766">
        <v>27</v>
      </c>
      <c r="M766" t="str">
        <f t="shared" si="11"/>
        <v>Adolscent</v>
      </c>
      <c r="N766" t="s">
        <v>18</v>
      </c>
    </row>
    <row r="767" spans="1:14" x14ac:dyDescent="0.3">
      <c r="A767">
        <v>16753</v>
      </c>
      <c r="B767" t="s">
        <v>37</v>
      </c>
      <c r="C767" t="s">
        <v>38</v>
      </c>
      <c r="D767" s="4">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4">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4">
        <v>60000</v>
      </c>
      <c r="E769">
        <v>2</v>
      </c>
      <c r="F769" t="s">
        <v>19</v>
      </c>
      <c r="G769" t="s">
        <v>21</v>
      </c>
      <c r="H769" t="s">
        <v>15</v>
      </c>
      <c r="I769">
        <v>2</v>
      </c>
      <c r="J769" t="s">
        <v>22</v>
      </c>
      <c r="K769" t="s">
        <v>32</v>
      </c>
      <c r="L769">
        <v>57</v>
      </c>
      <c r="M769" t="str">
        <f t="shared" si="11"/>
        <v>Middle Age</v>
      </c>
      <c r="N769" t="s">
        <v>15</v>
      </c>
    </row>
    <row r="770" spans="1:14" x14ac:dyDescent="0.3">
      <c r="A770">
        <v>13313</v>
      </c>
      <c r="B770" t="s">
        <v>36</v>
      </c>
      <c r="C770" t="s">
        <v>38</v>
      </c>
      <c r="D770" s="4">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4">
        <v>100000</v>
      </c>
      <c r="E771">
        <v>4</v>
      </c>
      <c r="F771" t="s">
        <v>13</v>
      </c>
      <c r="G771" t="s">
        <v>28</v>
      </c>
      <c r="H771" t="s">
        <v>15</v>
      </c>
      <c r="I771">
        <v>4</v>
      </c>
      <c r="J771" t="s">
        <v>16</v>
      </c>
      <c r="K771" t="s">
        <v>32</v>
      </c>
      <c r="L771">
        <v>40</v>
      </c>
      <c r="M771" t="str">
        <f t="shared" ref="M771:M834" si="12">IF(L771&gt;59,"Old",IF(L771&gt;=31,"Middle Age",IF(L771&lt;31,"Adolscent","Invalid")))</f>
        <v>Middle Age</v>
      </c>
      <c r="N771" t="s">
        <v>18</v>
      </c>
    </row>
    <row r="772" spans="1:14" x14ac:dyDescent="0.3">
      <c r="A772">
        <v>17699</v>
      </c>
      <c r="B772" t="s">
        <v>36</v>
      </c>
      <c r="C772" t="s">
        <v>39</v>
      </c>
      <c r="D772" s="4">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4">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4">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4">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4">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4">
        <v>70000</v>
      </c>
      <c r="E778">
        <v>2</v>
      </c>
      <c r="F778" t="s">
        <v>13</v>
      </c>
      <c r="G778" t="s">
        <v>28</v>
      </c>
      <c r="H778" t="s">
        <v>18</v>
      </c>
      <c r="I778">
        <v>1</v>
      </c>
      <c r="J778" t="s">
        <v>22</v>
      </c>
      <c r="K778" t="s">
        <v>32</v>
      </c>
      <c r="L778">
        <v>59</v>
      </c>
      <c r="M778" t="str">
        <f t="shared" si="12"/>
        <v>Middle Age</v>
      </c>
      <c r="N778" t="s">
        <v>15</v>
      </c>
    </row>
    <row r="779" spans="1:14" x14ac:dyDescent="0.3">
      <c r="A779">
        <v>13151</v>
      </c>
      <c r="B779" t="s">
        <v>37</v>
      </c>
      <c r="C779" t="s">
        <v>39</v>
      </c>
      <c r="D779" s="4">
        <v>40000</v>
      </c>
      <c r="E779">
        <v>0</v>
      </c>
      <c r="F779" t="s">
        <v>27</v>
      </c>
      <c r="G779" t="s">
        <v>14</v>
      </c>
      <c r="H779" t="s">
        <v>15</v>
      </c>
      <c r="I779">
        <v>2</v>
      </c>
      <c r="J779" t="s">
        <v>23</v>
      </c>
      <c r="K779" t="s">
        <v>32</v>
      </c>
      <c r="L779">
        <v>27</v>
      </c>
      <c r="M779" t="str">
        <f t="shared" si="12"/>
        <v>Adolscent</v>
      </c>
      <c r="N779" t="s">
        <v>18</v>
      </c>
    </row>
    <row r="780" spans="1:14" x14ac:dyDescent="0.3">
      <c r="A780">
        <v>17260</v>
      </c>
      <c r="B780" t="s">
        <v>36</v>
      </c>
      <c r="C780" t="s">
        <v>39</v>
      </c>
      <c r="D780" s="4">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4">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4">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39</v>
      </c>
      <c r="D783" s="4">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4">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4">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4">
        <v>40000</v>
      </c>
      <c r="E787">
        <v>0</v>
      </c>
      <c r="F787" t="s">
        <v>27</v>
      </c>
      <c r="G787" t="s">
        <v>14</v>
      </c>
      <c r="H787" t="s">
        <v>18</v>
      </c>
      <c r="I787">
        <v>2</v>
      </c>
      <c r="J787" t="s">
        <v>16</v>
      </c>
      <c r="K787" t="s">
        <v>32</v>
      </c>
      <c r="L787">
        <v>28</v>
      </c>
      <c r="M787" t="str">
        <f t="shared" si="12"/>
        <v>Adolscent</v>
      </c>
      <c r="N787" t="s">
        <v>15</v>
      </c>
    </row>
    <row r="788" spans="1:14" x14ac:dyDescent="0.3">
      <c r="A788">
        <v>15468</v>
      </c>
      <c r="B788" t="s">
        <v>36</v>
      </c>
      <c r="C788" t="s">
        <v>38</v>
      </c>
      <c r="D788" s="4">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4">
        <v>70000</v>
      </c>
      <c r="E789">
        <v>2</v>
      </c>
      <c r="F789" t="s">
        <v>13</v>
      </c>
      <c r="G789" t="s">
        <v>28</v>
      </c>
      <c r="H789" t="s">
        <v>18</v>
      </c>
      <c r="I789">
        <v>1</v>
      </c>
      <c r="J789" t="s">
        <v>22</v>
      </c>
      <c r="K789" t="s">
        <v>32</v>
      </c>
      <c r="L789">
        <v>59</v>
      </c>
      <c r="M789" t="str">
        <f t="shared" si="12"/>
        <v>Middle Age</v>
      </c>
      <c r="N789" t="s">
        <v>15</v>
      </c>
    </row>
    <row r="790" spans="1:14" x14ac:dyDescent="0.3">
      <c r="A790">
        <v>26270</v>
      </c>
      <c r="B790" t="s">
        <v>37</v>
      </c>
      <c r="C790" t="s">
        <v>38</v>
      </c>
      <c r="D790" s="4">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4">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4">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4">
        <v>40000</v>
      </c>
      <c r="E793">
        <v>0</v>
      </c>
      <c r="F793" t="s">
        <v>27</v>
      </c>
      <c r="G793" t="s">
        <v>14</v>
      </c>
      <c r="H793" t="s">
        <v>15</v>
      </c>
      <c r="I793">
        <v>2</v>
      </c>
      <c r="J793" t="s">
        <v>23</v>
      </c>
      <c r="K793" t="s">
        <v>32</v>
      </c>
      <c r="L793">
        <v>28</v>
      </c>
      <c r="M793" t="str">
        <f t="shared" si="12"/>
        <v>Adolscent</v>
      </c>
      <c r="N793" t="s">
        <v>15</v>
      </c>
    </row>
    <row r="794" spans="1:14" x14ac:dyDescent="0.3">
      <c r="A794">
        <v>23256</v>
      </c>
      <c r="B794" t="s">
        <v>37</v>
      </c>
      <c r="C794" t="s">
        <v>39</v>
      </c>
      <c r="D794" s="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4">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4">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4">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4">
        <v>70000</v>
      </c>
      <c r="E798">
        <v>5</v>
      </c>
      <c r="F798" t="s">
        <v>19</v>
      </c>
      <c r="G798" t="s">
        <v>21</v>
      </c>
      <c r="H798" t="s">
        <v>15</v>
      </c>
      <c r="I798">
        <v>2</v>
      </c>
      <c r="J798" t="s">
        <v>26</v>
      </c>
      <c r="K798" t="s">
        <v>32</v>
      </c>
      <c r="L798">
        <v>57</v>
      </c>
      <c r="M798" t="str">
        <f t="shared" si="12"/>
        <v>Middle Age</v>
      </c>
      <c r="N798" t="s">
        <v>15</v>
      </c>
    </row>
    <row r="799" spans="1:14" x14ac:dyDescent="0.3">
      <c r="A799">
        <v>20310</v>
      </c>
      <c r="B799" t="s">
        <v>37</v>
      </c>
      <c r="C799" t="s">
        <v>39</v>
      </c>
      <c r="D799" s="4">
        <v>60000</v>
      </c>
      <c r="E799">
        <v>0</v>
      </c>
      <c r="F799" t="s">
        <v>19</v>
      </c>
      <c r="G799" t="s">
        <v>14</v>
      </c>
      <c r="H799" t="s">
        <v>15</v>
      </c>
      <c r="I799">
        <v>1</v>
      </c>
      <c r="J799" t="s">
        <v>23</v>
      </c>
      <c r="K799" t="s">
        <v>32</v>
      </c>
      <c r="L799">
        <v>27</v>
      </c>
      <c r="M799" t="str">
        <f t="shared" si="12"/>
        <v>Adolscent</v>
      </c>
      <c r="N799" t="s">
        <v>15</v>
      </c>
    </row>
    <row r="800" spans="1:14" x14ac:dyDescent="0.3">
      <c r="A800">
        <v>22971</v>
      </c>
      <c r="B800" t="s">
        <v>37</v>
      </c>
      <c r="C800" t="s">
        <v>38</v>
      </c>
      <c r="D800" s="4">
        <v>30000</v>
      </c>
      <c r="E800">
        <v>0</v>
      </c>
      <c r="F800" t="s">
        <v>27</v>
      </c>
      <c r="G800" t="s">
        <v>14</v>
      </c>
      <c r="H800" t="s">
        <v>18</v>
      </c>
      <c r="I800">
        <v>2</v>
      </c>
      <c r="J800" t="s">
        <v>16</v>
      </c>
      <c r="K800" t="s">
        <v>32</v>
      </c>
      <c r="L800">
        <v>25</v>
      </c>
      <c r="M800" t="str">
        <f t="shared" si="12"/>
        <v>Adolscent</v>
      </c>
      <c r="N800" t="s">
        <v>15</v>
      </c>
    </row>
    <row r="801" spans="1:14" x14ac:dyDescent="0.3">
      <c r="A801">
        <v>15287</v>
      </c>
      <c r="B801" t="s">
        <v>37</v>
      </c>
      <c r="C801" t="s">
        <v>38</v>
      </c>
      <c r="D801" s="4">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4">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4">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4">
        <v>40000</v>
      </c>
      <c r="E804">
        <v>0</v>
      </c>
      <c r="F804" t="s">
        <v>19</v>
      </c>
      <c r="G804" t="s">
        <v>14</v>
      </c>
      <c r="H804" t="s">
        <v>15</v>
      </c>
      <c r="I804">
        <v>1</v>
      </c>
      <c r="J804" t="s">
        <v>23</v>
      </c>
      <c r="K804" t="s">
        <v>32</v>
      </c>
      <c r="L804">
        <v>27</v>
      </c>
      <c r="M804" t="str">
        <f t="shared" si="12"/>
        <v>Adolscent</v>
      </c>
      <c r="N804" t="s">
        <v>18</v>
      </c>
    </row>
    <row r="805" spans="1:14" x14ac:dyDescent="0.3">
      <c r="A805">
        <v>15255</v>
      </c>
      <c r="B805" t="s">
        <v>36</v>
      </c>
      <c r="C805" t="s">
        <v>39</v>
      </c>
      <c r="D805" s="4">
        <v>40000</v>
      </c>
      <c r="E805">
        <v>0</v>
      </c>
      <c r="F805" t="s">
        <v>27</v>
      </c>
      <c r="G805" t="s">
        <v>14</v>
      </c>
      <c r="H805" t="s">
        <v>15</v>
      </c>
      <c r="I805">
        <v>2</v>
      </c>
      <c r="J805" t="s">
        <v>23</v>
      </c>
      <c r="K805" t="s">
        <v>32</v>
      </c>
      <c r="L805">
        <v>28</v>
      </c>
      <c r="M805" t="str">
        <f t="shared" si="12"/>
        <v>Adolscent</v>
      </c>
      <c r="N805" t="s">
        <v>15</v>
      </c>
    </row>
    <row r="806" spans="1:14" x14ac:dyDescent="0.3">
      <c r="A806">
        <v>13154</v>
      </c>
      <c r="B806" t="s">
        <v>36</v>
      </c>
      <c r="C806" t="s">
        <v>39</v>
      </c>
      <c r="D806" s="4">
        <v>40000</v>
      </c>
      <c r="E806">
        <v>0</v>
      </c>
      <c r="F806" t="s">
        <v>27</v>
      </c>
      <c r="G806" t="s">
        <v>14</v>
      </c>
      <c r="H806" t="s">
        <v>18</v>
      </c>
      <c r="I806">
        <v>2</v>
      </c>
      <c r="J806" t="s">
        <v>16</v>
      </c>
      <c r="K806" t="s">
        <v>32</v>
      </c>
      <c r="L806">
        <v>27</v>
      </c>
      <c r="M806" t="str">
        <f t="shared" si="12"/>
        <v>Adolscent</v>
      </c>
      <c r="N806" t="s">
        <v>15</v>
      </c>
    </row>
    <row r="807" spans="1:14" x14ac:dyDescent="0.3">
      <c r="A807">
        <v>26778</v>
      </c>
      <c r="B807" t="s">
        <v>37</v>
      </c>
      <c r="C807" t="s">
        <v>38</v>
      </c>
      <c r="D807" s="4">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4">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4">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4">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4">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4">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4">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4">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4">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4">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4">
        <v>40000</v>
      </c>
      <c r="E817">
        <v>0</v>
      </c>
      <c r="F817" t="s">
        <v>19</v>
      </c>
      <c r="G817" t="s">
        <v>14</v>
      </c>
      <c r="H817" t="s">
        <v>18</v>
      </c>
      <c r="I817">
        <v>2</v>
      </c>
      <c r="J817" t="s">
        <v>26</v>
      </c>
      <c r="K817" t="s">
        <v>32</v>
      </c>
      <c r="L817">
        <v>30</v>
      </c>
      <c r="M817" t="str">
        <f t="shared" si="12"/>
        <v>Adolscent</v>
      </c>
      <c r="N817" t="s">
        <v>18</v>
      </c>
    </row>
    <row r="818" spans="1:14" x14ac:dyDescent="0.3">
      <c r="A818">
        <v>21660</v>
      </c>
      <c r="B818" t="s">
        <v>36</v>
      </c>
      <c r="C818" t="s">
        <v>38</v>
      </c>
      <c r="D818" s="4">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4">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4">
        <v>40000</v>
      </c>
      <c r="E820">
        <v>0</v>
      </c>
      <c r="F820" t="s">
        <v>19</v>
      </c>
      <c r="G820" t="s">
        <v>14</v>
      </c>
      <c r="H820" t="s">
        <v>15</v>
      </c>
      <c r="I820">
        <v>1</v>
      </c>
      <c r="J820" t="s">
        <v>23</v>
      </c>
      <c r="K820" t="s">
        <v>32</v>
      </c>
      <c r="L820">
        <v>30</v>
      </c>
      <c r="M820" t="str">
        <f t="shared" si="12"/>
        <v>Adolscent</v>
      </c>
      <c r="N820" t="s">
        <v>18</v>
      </c>
    </row>
    <row r="821" spans="1:14" x14ac:dyDescent="0.3">
      <c r="A821">
        <v>27505</v>
      </c>
      <c r="B821" t="s">
        <v>37</v>
      </c>
      <c r="C821" t="s">
        <v>38</v>
      </c>
      <c r="D821" s="4">
        <v>40000</v>
      </c>
      <c r="E821">
        <v>0</v>
      </c>
      <c r="F821" t="s">
        <v>27</v>
      </c>
      <c r="G821" t="s">
        <v>14</v>
      </c>
      <c r="H821" t="s">
        <v>15</v>
      </c>
      <c r="I821">
        <v>2</v>
      </c>
      <c r="J821" t="s">
        <v>23</v>
      </c>
      <c r="K821" t="s">
        <v>32</v>
      </c>
      <c r="L821">
        <v>30</v>
      </c>
      <c r="M821" t="str">
        <f t="shared" si="12"/>
        <v>Adolscent</v>
      </c>
      <c r="N821" t="s">
        <v>18</v>
      </c>
    </row>
    <row r="822" spans="1:14" x14ac:dyDescent="0.3">
      <c r="A822">
        <v>29243</v>
      </c>
      <c r="B822" t="s">
        <v>37</v>
      </c>
      <c r="C822" t="s">
        <v>39</v>
      </c>
      <c r="D822" s="4">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4">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4">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4">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4">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4">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4">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4">
        <v>40000</v>
      </c>
      <c r="E830">
        <v>0</v>
      </c>
      <c r="F830" t="s">
        <v>29</v>
      </c>
      <c r="G830" t="s">
        <v>20</v>
      </c>
      <c r="H830" t="s">
        <v>15</v>
      </c>
      <c r="I830">
        <v>2</v>
      </c>
      <c r="J830" t="s">
        <v>23</v>
      </c>
      <c r="K830" t="s">
        <v>32</v>
      </c>
      <c r="L830">
        <v>26</v>
      </c>
      <c r="M830" t="str">
        <f t="shared" si="12"/>
        <v>Adolscent</v>
      </c>
      <c r="N830" t="s">
        <v>18</v>
      </c>
    </row>
    <row r="831" spans="1:14" x14ac:dyDescent="0.3">
      <c r="A831">
        <v>16009</v>
      </c>
      <c r="B831" t="s">
        <v>37</v>
      </c>
      <c r="C831" t="s">
        <v>39</v>
      </c>
      <c r="D831" s="4">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4">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4">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4">
        <v>70000</v>
      </c>
      <c r="E835">
        <v>0</v>
      </c>
      <c r="F835" t="s">
        <v>13</v>
      </c>
      <c r="G835" t="s">
        <v>21</v>
      </c>
      <c r="H835" t="s">
        <v>18</v>
      </c>
      <c r="I835">
        <v>1</v>
      </c>
      <c r="J835" t="s">
        <v>16</v>
      </c>
      <c r="K835" t="s">
        <v>32</v>
      </c>
      <c r="L835">
        <v>37</v>
      </c>
      <c r="M835" t="str">
        <f t="shared" ref="M835:M898" si="13">IF(L835&gt;59,"Old",IF(L835&gt;=31,"Middle Age",IF(L835&lt;31,"Adolscent","Invalid")))</f>
        <v>Middle Age</v>
      </c>
      <c r="N835" t="s">
        <v>15</v>
      </c>
    </row>
    <row r="836" spans="1:14" x14ac:dyDescent="0.3">
      <c r="A836">
        <v>19889</v>
      </c>
      <c r="B836" t="s">
        <v>37</v>
      </c>
      <c r="C836" t="s">
        <v>38</v>
      </c>
      <c r="D836" s="4">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4">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4">
        <v>40000</v>
      </c>
      <c r="E838">
        <v>0</v>
      </c>
      <c r="F838" t="s">
        <v>19</v>
      </c>
      <c r="G838" t="s">
        <v>14</v>
      </c>
      <c r="H838" t="s">
        <v>15</v>
      </c>
      <c r="I838">
        <v>2</v>
      </c>
      <c r="J838" t="s">
        <v>23</v>
      </c>
      <c r="K838" t="s">
        <v>32</v>
      </c>
      <c r="L838">
        <v>28</v>
      </c>
      <c r="M838" t="str">
        <f t="shared" si="13"/>
        <v>Adolscent</v>
      </c>
      <c r="N838" t="s">
        <v>18</v>
      </c>
    </row>
    <row r="839" spans="1:14" x14ac:dyDescent="0.3">
      <c r="A839">
        <v>16773</v>
      </c>
      <c r="B839" t="s">
        <v>36</v>
      </c>
      <c r="C839" t="s">
        <v>39</v>
      </c>
      <c r="D839" s="4">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4">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4">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4">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4">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4">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4">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4">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4">
        <v>70000</v>
      </c>
      <c r="E848">
        <v>4</v>
      </c>
      <c r="F848" t="s">
        <v>19</v>
      </c>
      <c r="G848" t="s">
        <v>21</v>
      </c>
      <c r="H848" t="s">
        <v>18</v>
      </c>
      <c r="I848">
        <v>1</v>
      </c>
      <c r="J848" t="s">
        <v>26</v>
      </c>
      <c r="K848" t="s">
        <v>32</v>
      </c>
      <c r="L848">
        <v>56</v>
      </c>
      <c r="M848" t="str">
        <f t="shared" si="13"/>
        <v>Middle Age</v>
      </c>
      <c r="N848" t="s">
        <v>18</v>
      </c>
    </row>
    <row r="849" spans="1:14" x14ac:dyDescent="0.3">
      <c r="A849">
        <v>17482</v>
      </c>
      <c r="B849" t="s">
        <v>37</v>
      </c>
      <c r="C849" t="s">
        <v>38</v>
      </c>
      <c r="D849" s="4">
        <v>40000</v>
      </c>
      <c r="E849">
        <v>0</v>
      </c>
      <c r="F849" t="s">
        <v>29</v>
      </c>
      <c r="G849" t="s">
        <v>20</v>
      </c>
      <c r="H849" t="s">
        <v>15</v>
      </c>
      <c r="I849">
        <v>2</v>
      </c>
      <c r="J849" t="s">
        <v>23</v>
      </c>
      <c r="K849" t="s">
        <v>32</v>
      </c>
      <c r="L849">
        <v>29</v>
      </c>
      <c r="M849" t="str">
        <f t="shared" si="13"/>
        <v>Adolscent</v>
      </c>
      <c r="N849" t="s">
        <v>18</v>
      </c>
    </row>
    <row r="850" spans="1:14" x14ac:dyDescent="0.3">
      <c r="A850">
        <v>13176</v>
      </c>
      <c r="B850" t="s">
        <v>37</v>
      </c>
      <c r="C850" t="s">
        <v>39</v>
      </c>
      <c r="D850" s="4">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4">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4">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4">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4">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4">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4">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4">
        <v>40000</v>
      </c>
      <c r="E858">
        <v>0</v>
      </c>
      <c r="F858" t="s">
        <v>19</v>
      </c>
      <c r="G858" t="s">
        <v>14</v>
      </c>
      <c r="H858" t="s">
        <v>15</v>
      </c>
      <c r="I858">
        <v>1</v>
      </c>
      <c r="J858" t="s">
        <v>23</v>
      </c>
      <c r="K858" t="s">
        <v>32</v>
      </c>
      <c r="L858">
        <v>27</v>
      </c>
      <c r="M858" t="str">
        <f t="shared" si="13"/>
        <v>Adolscent</v>
      </c>
      <c r="N858" t="s">
        <v>18</v>
      </c>
    </row>
    <row r="859" spans="1:14" x14ac:dyDescent="0.3">
      <c r="A859">
        <v>11745</v>
      </c>
      <c r="B859" t="s">
        <v>36</v>
      </c>
      <c r="C859" t="s">
        <v>38</v>
      </c>
      <c r="D859" s="4">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4">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4">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4">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4">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4">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4">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4">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4">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39</v>
      </c>
      <c r="D869" s="4">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4">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4">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4">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4">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38</v>
      </c>
      <c r="D874" s="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4">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4">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4">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4">
        <v>30000</v>
      </c>
      <c r="E878">
        <v>0</v>
      </c>
      <c r="F878" t="s">
        <v>29</v>
      </c>
      <c r="G878" t="s">
        <v>20</v>
      </c>
      <c r="H878" t="s">
        <v>18</v>
      </c>
      <c r="I878">
        <v>2</v>
      </c>
      <c r="J878" t="s">
        <v>16</v>
      </c>
      <c r="K878" t="s">
        <v>32</v>
      </c>
      <c r="L878">
        <v>26</v>
      </c>
      <c r="M878" t="str">
        <f t="shared" si="13"/>
        <v>Adolscent</v>
      </c>
      <c r="N878" t="s">
        <v>18</v>
      </c>
    </row>
    <row r="879" spans="1:14" x14ac:dyDescent="0.3">
      <c r="A879">
        <v>15879</v>
      </c>
      <c r="B879" t="s">
        <v>36</v>
      </c>
      <c r="C879" t="s">
        <v>39</v>
      </c>
      <c r="D879" s="4">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4">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4">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4">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4">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4">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4">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4">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4">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4">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4">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4">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4">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4">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4">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4">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4">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4">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4">
        <v>30000</v>
      </c>
      <c r="E899">
        <v>0</v>
      </c>
      <c r="F899" t="s">
        <v>29</v>
      </c>
      <c r="G899" t="s">
        <v>20</v>
      </c>
      <c r="H899" t="s">
        <v>18</v>
      </c>
      <c r="I899">
        <v>2</v>
      </c>
      <c r="J899" t="s">
        <v>16</v>
      </c>
      <c r="K899" t="s">
        <v>32</v>
      </c>
      <c r="L899">
        <v>28</v>
      </c>
      <c r="M899" t="str">
        <f t="shared" ref="M899:M962" si="14">IF(L899&gt;59,"Old",IF(L899&gt;=31,"Middle Age",IF(L899&lt;31,"Adolscent","Invalid")))</f>
        <v>Adolscent</v>
      </c>
      <c r="N899" t="s">
        <v>18</v>
      </c>
    </row>
    <row r="900" spans="1:14" x14ac:dyDescent="0.3">
      <c r="A900">
        <v>18066</v>
      </c>
      <c r="B900" t="s">
        <v>37</v>
      </c>
      <c r="C900" t="s">
        <v>39</v>
      </c>
      <c r="D900" s="4">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4">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4">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4">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4">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4">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4">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4">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4">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4">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4">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4">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4">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4">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4">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4">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4">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4">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4">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4">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4">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4">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4">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4">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4">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4">
        <v>40000</v>
      </c>
      <c r="E928">
        <v>2</v>
      </c>
      <c r="F928" t="s">
        <v>27</v>
      </c>
      <c r="G928" t="s">
        <v>21</v>
      </c>
      <c r="H928" t="s">
        <v>15</v>
      </c>
      <c r="I928">
        <v>2</v>
      </c>
      <c r="J928" t="s">
        <v>46</v>
      </c>
      <c r="K928" t="s">
        <v>32</v>
      </c>
      <c r="L928">
        <v>57</v>
      </c>
      <c r="M928" t="str">
        <f t="shared" si="14"/>
        <v>Middle Age</v>
      </c>
      <c r="N928" t="s">
        <v>18</v>
      </c>
    </row>
    <row r="929" spans="1:14" x14ac:dyDescent="0.3">
      <c r="A929">
        <v>11823</v>
      </c>
      <c r="B929" t="s">
        <v>36</v>
      </c>
      <c r="C929" t="s">
        <v>38</v>
      </c>
      <c r="D929" s="4">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4">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4">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4">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4">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4">
        <v>40000</v>
      </c>
      <c r="E934">
        <v>0</v>
      </c>
      <c r="F934" t="s">
        <v>27</v>
      </c>
      <c r="G934" t="s">
        <v>14</v>
      </c>
      <c r="H934" t="s">
        <v>18</v>
      </c>
      <c r="I934">
        <v>2</v>
      </c>
      <c r="J934" t="s">
        <v>16</v>
      </c>
      <c r="K934" t="s">
        <v>32</v>
      </c>
      <c r="L934">
        <v>27</v>
      </c>
      <c r="M934" t="str">
        <f t="shared" si="14"/>
        <v>Adolscent</v>
      </c>
      <c r="N934" t="s">
        <v>15</v>
      </c>
    </row>
    <row r="935" spans="1:14" x14ac:dyDescent="0.3">
      <c r="A935">
        <v>11941</v>
      </c>
      <c r="B935" t="s">
        <v>37</v>
      </c>
      <c r="C935" t="s">
        <v>39</v>
      </c>
      <c r="D935" s="4">
        <v>60000</v>
      </c>
      <c r="E935">
        <v>0</v>
      </c>
      <c r="F935" t="s">
        <v>19</v>
      </c>
      <c r="G935" t="s">
        <v>14</v>
      </c>
      <c r="H935" t="s">
        <v>15</v>
      </c>
      <c r="I935">
        <v>0</v>
      </c>
      <c r="J935" t="s">
        <v>23</v>
      </c>
      <c r="K935" t="s">
        <v>32</v>
      </c>
      <c r="L935">
        <v>29</v>
      </c>
      <c r="M935" t="str">
        <f t="shared" si="14"/>
        <v>Adolscent</v>
      </c>
      <c r="N935" t="s">
        <v>18</v>
      </c>
    </row>
    <row r="936" spans="1:14" x14ac:dyDescent="0.3">
      <c r="A936">
        <v>14389</v>
      </c>
      <c r="B936" t="s">
        <v>36</v>
      </c>
      <c r="C936" t="s">
        <v>39</v>
      </c>
      <c r="D936" s="4">
        <v>60000</v>
      </c>
      <c r="E936">
        <v>2</v>
      </c>
      <c r="F936" t="s">
        <v>13</v>
      </c>
      <c r="G936" t="s">
        <v>28</v>
      </c>
      <c r="H936" t="s">
        <v>15</v>
      </c>
      <c r="I936">
        <v>0</v>
      </c>
      <c r="J936" t="s">
        <v>22</v>
      </c>
      <c r="K936" t="s">
        <v>32</v>
      </c>
      <c r="L936">
        <v>59</v>
      </c>
      <c r="M936" t="str">
        <f t="shared" si="14"/>
        <v>Middle Age</v>
      </c>
      <c r="N936" t="s">
        <v>18</v>
      </c>
    </row>
    <row r="937" spans="1:14" x14ac:dyDescent="0.3">
      <c r="A937">
        <v>18050</v>
      </c>
      <c r="B937" t="s">
        <v>36</v>
      </c>
      <c r="C937" t="s">
        <v>38</v>
      </c>
      <c r="D937" s="4">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4">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4">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4">
        <v>40000</v>
      </c>
      <c r="E940">
        <v>0</v>
      </c>
      <c r="F940" t="s">
        <v>27</v>
      </c>
      <c r="G940" t="s">
        <v>14</v>
      </c>
      <c r="H940" t="s">
        <v>15</v>
      </c>
      <c r="I940">
        <v>2</v>
      </c>
      <c r="J940" t="s">
        <v>23</v>
      </c>
      <c r="K940" t="s">
        <v>32</v>
      </c>
      <c r="L940">
        <v>27</v>
      </c>
      <c r="M940" t="str">
        <f t="shared" si="14"/>
        <v>Adolscent</v>
      </c>
      <c r="N940" t="s">
        <v>18</v>
      </c>
    </row>
    <row r="941" spans="1:14" x14ac:dyDescent="0.3">
      <c r="A941">
        <v>23455</v>
      </c>
      <c r="B941" t="s">
        <v>37</v>
      </c>
      <c r="C941" t="s">
        <v>39</v>
      </c>
      <c r="D941" s="4">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4">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4">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4">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4">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4">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4">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4">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4">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4">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4">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4">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4">
        <v>70000</v>
      </c>
      <c r="E954">
        <v>4</v>
      </c>
      <c r="F954" t="s">
        <v>13</v>
      </c>
      <c r="G954" t="s">
        <v>28</v>
      </c>
      <c r="H954" t="s">
        <v>18</v>
      </c>
      <c r="I954">
        <v>1</v>
      </c>
      <c r="J954" t="s">
        <v>26</v>
      </c>
      <c r="K954" t="s">
        <v>32</v>
      </c>
      <c r="L954">
        <v>59</v>
      </c>
      <c r="M954" t="str">
        <f t="shared" si="14"/>
        <v>Middle Age</v>
      </c>
      <c r="N954" t="s">
        <v>18</v>
      </c>
    </row>
    <row r="955" spans="1:14" x14ac:dyDescent="0.3">
      <c r="A955">
        <v>17654</v>
      </c>
      <c r="B955" t="s">
        <v>37</v>
      </c>
      <c r="C955" t="s">
        <v>38</v>
      </c>
      <c r="D955" s="4">
        <v>40000</v>
      </c>
      <c r="E955">
        <v>3</v>
      </c>
      <c r="F955" t="s">
        <v>19</v>
      </c>
      <c r="G955" t="s">
        <v>20</v>
      </c>
      <c r="H955" t="s">
        <v>15</v>
      </c>
      <c r="I955">
        <v>1</v>
      </c>
      <c r="J955" t="s">
        <v>26</v>
      </c>
      <c r="K955" t="s">
        <v>32</v>
      </c>
      <c r="L955">
        <v>30</v>
      </c>
      <c r="M955" t="str">
        <f t="shared" si="14"/>
        <v>Adolscent</v>
      </c>
      <c r="N955" t="s">
        <v>15</v>
      </c>
    </row>
    <row r="956" spans="1:14" x14ac:dyDescent="0.3">
      <c r="A956">
        <v>14662</v>
      </c>
      <c r="B956" t="s">
        <v>36</v>
      </c>
      <c r="C956" t="s">
        <v>39</v>
      </c>
      <c r="D956" s="4">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4">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4">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4">
        <v>60000</v>
      </c>
      <c r="E959">
        <v>0</v>
      </c>
      <c r="F959" t="s">
        <v>19</v>
      </c>
      <c r="G959" t="s">
        <v>21</v>
      </c>
      <c r="H959" t="s">
        <v>15</v>
      </c>
      <c r="I959">
        <v>2</v>
      </c>
      <c r="J959" t="s">
        <v>23</v>
      </c>
      <c r="K959" t="s">
        <v>32</v>
      </c>
      <c r="L959">
        <v>30</v>
      </c>
      <c r="M959" t="str">
        <f t="shared" si="14"/>
        <v>Adolscent</v>
      </c>
      <c r="N959" t="s">
        <v>18</v>
      </c>
    </row>
    <row r="960" spans="1:14" x14ac:dyDescent="0.3">
      <c r="A960">
        <v>21940</v>
      </c>
      <c r="B960" t="s">
        <v>36</v>
      </c>
      <c r="C960" t="s">
        <v>39</v>
      </c>
      <c r="D960" s="4">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4">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4">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4">
        <v>120000</v>
      </c>
      <c r="E963">
        <v>2</v>
      </c>
      <c r="F963" t="s">
        <v>13</v>
      </c>
      <c r="G963" t="s">
        <v>28</v>
      </c>
      <c r="H963" t="s">
        <v>15</v>
      </c>
      <c r="I963">
        <v>3</v>
      </c>
      <c r="J963" t="s">
        <v>23</v>
      </c>
      <c r="K963" t="s">
        <v>32</v>
      </c>
      <c r="L963">
        <v>62</v>
      </c>
      <c r="M963" t="str">
        <f t="shared" ref="M963:M1003" si="15">IF(L963&gt;59,"Old",IF(L963&gt;=31,"Middle Age",IF(L963&lt;31,"Adolscent","Invalid")))</f>
        <v>Old</v>
      </c>
      <c r="N963" t="s">
        <v>18</v>
      </c>
    </row>
    <row r="964" spans="1:14" x14ac:dyDescent="0.3">
      <c r="A964">
        <v>16813</v>
      </c>
      <c r="B964" t="s">
        <v>36</v>
      </c>
      <c r="C964" t="s">
        <v>39</v>
      </c>
      <c r="D964" s="4">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38</v>
      </c>
      <c r="D965" s="4">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4">
        <v>70000</v>
      </c>
      <c r="E966">
        <v>4</v>
      </c>
      <c r="F966" t="s">
        <v>19</v>
      </c>
      <c r="G966" t="s">
        <v>21</v>
      </c>
      <c r="H966" t="s">
        <v>15</v>
      </c>
      <c r="I966">
        <v>1</v>
      </c>
      <c r="J966" t="s">
        <v>46</v>
      </c>
      <c r="K966" t="s">
        <v>32</v>
      </c>
      <c r="L966">
        <v>56</v>
      </c>
      <c r="M966" t="str">
        <f t="shared" si="15"/>
        <v>Middle Age</v>
      </c>
      <c r="N966" t="s">
        <v>18</v>
      </c>
    </row>
    <row r="967" spans="1:14" x14ac:dyDescent="0.3">
      <c r="A967">
        <v>27756</v>
      </c>
      <c r="B967" t="s">
        <v>37</v>
      </c>
      <c r="C967" t="s">
        <v>38</v>
      </c>
      <c r="D967" s="4">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4">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4">
        <v>80000</v>
      </c>
      <c r="E969">
        <v>3</v>
      </c>
      <c r="F969" t="s">
        <v>13</v>
      </c>
      <c r="G969" t="s">
        <v>28</v>
      </c>
      <c r="H969" t="s">
        <v>15</v>
      </c>
      <c r="I969">
        <v>1</v>
      </c>
      <c r="J969" t="s">
        <v>26</v>
      </c>
      <c r="K969" t="s">
        <v>32</v>
      </c>
      <c r="L969">
        <v>56</v>
      </c>
      <c r="M969" t="str">
        <f t="shared" si="15"/>
        <v>Middle Age</v>
      </c>
      <c r="N969" t="s">
        <v>18</v>
      </c>
    </row>
    <row r="970" spans="1:14" x14ac:dyDescent="0.3">
      <c r="A970">
        <v>18329</v>
      </c>
      <c r="B970" t="s">
        <v>37</v>
      </c>
      <c r="C970" t="s">
        <v>39</v>
      </c>
      <c r="D970" s="4">
        <v>30000</v>
      </c>
      <c r="E970">
        <v>0</v>
      </c>
      <c r="F970" t="s">
        <v>29</v>
      </c>
      <c r="G970" t="s">
        <v>20</v>
      </c>
      <c r="H970" t="s">
        <v>18</v>
      </c>
      <c r="I970">
        <v>2</v>
      </c>
      <c r="J970" t="s">
        <v>23</v>
      </c>
      <c r="K970" t="s">
        <v>32</v>
      </c>
      <c r="L970">
        <v>27</v>
      </c>
      <c r="M970" t="str">
        <f t="shared" si="15"/>
        <v>Adolscent</v>
      </c>
      <c r="N970" t="s">
        <v>18</v>
      </c>
    </row>
    <row r="971" spans="1:14" x14ac:dyDescent="0.3">
      <c r="A971">
        <v>29037</v>
      </c>
      <c r="B971" t="s">
        <v>36</v>
      </c>
      <c r="C971" t="s">
        <v>39</v>
      </c>
      <c r="D971" s="4">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4">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4">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4">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4">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4">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4">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4">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4">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4">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4">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4">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4">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4">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4">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4">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4">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4">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4">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4">
        <v>30000</v>
      </c>
      <c r="E992">
        <v>0</v>
      </c>
      <c r="F992" t="s">
        <v>27</v>
      </c>
      <c r="G992" t="s">
        <v>14</v>
      </c>
      <c r="H992" t="s">
        <v>18</v>
      </c>
      <c r="I992">
        <v>2</v>
      </c>
      <c r="J992" t="s">
        <v>23</v>
      </c>
      <c r="K992" t="s">
        <v>32</v>
      </c>
      <c r="L992">
        <v>26</v>
      </c>
      <c r="M992" t="str">
        <f t="shared" si="15"/>
        <v>Adolscent</v>
      </c>
      <c r="N992" t="s">
        <v>18</v>
      </c>
    </row>
    <row r="993" spans="1:14" x14ac:dyDescent="0.3">
      <c r="A993">
        <v>19117</v>
      </c>
      <c r="B993" t="s">
        <v>37</v>
      </c>
      <c r="C993" t="s">
        <v>38</v>
      </c>
      <c r="D993" s="4">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4">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4">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4">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4">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4">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4">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4">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2BF02-260E-4ABC-9AA8-E72E4C9A0E59}">
  <dimension ref="A4:D47"/>
  <sheetViews>
    <sheetView workbookViewId="0">
      <selection activeCell="O12" sqref="O12"/>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4" spans="1:4" x14ac:dyDescent="0.3">
      <c r="A4" s="5" t="s">
        <v>43</v>
      </c>
      <c r="B4" s="5" t="s">
        <v>45</v>
      </c>
    </row>
    <row r="5" spans="1:4" x14ac:dyDescent="0.3">
      <c r="A5" s="5" t="s">
        <v>41</v>
      </c>
      <c r="B5" t="s">
        <v>18</v>
      </c>
      <c r="C5" t="s">
        <v>15</v>
      </c>
      <c r="D5" t="s">
        <v>42</v>
      </c>
    </row>
    <row r="6" spans="1:4" x14ac:dyDescent="0.3">
      <c r="A6" s="6" t="s">
        <v>38</v>
      </c>
      <c r="B6" s="4">
        <v>30000</v>
      </c>
      <c r="C6" s="4">
        <v>32608.695652173912</v>
      </c>
      <c r="D6" s="4">
        <v>31276.59574468085</v>
      </c>
    </row>
    <row r="7" spans="1:4" x14ac:dyDescent="0.3">
      <c r="A7" s="6" t="s">
        <v>39</v>
      </c>
      <c r="B7" s="4">
        <v>25789.473684210527</v>
      </c>
      <c r="C7" s="4">
        <v>33000</v>
      </c>
      <c r="D7" s="4">
        <v>29487.179487179488</v>
      </c>
    </row>
    <row r="8" spans="1:4" x14ac:dyDescent="0.3">
      <c r="A8" s="6" t="s">
        <v>42</v>
      </c>
      <c r="B8" s="4">
        <v>28139.534883720931</v>
      </c>
      <c r="C8" s="4">
        <v>32790.697674418603</v>
      </c>
      <c r="D8" s="4">
        <v>30465.116279069767</v>
      </c>
    </row>
    <row r="24" spans="1:4" x14ac:dyDescent="0.3">
      <c r="A24" s="5" t="s">
        <v>44</v>
      </c>
      <c r="B24" s="5" t="s">
        <v>45</v>
      </c>
    </row>
    <row r="25" spans="1:4" x14ac:dyDescent="0.3">
      <c r="A25" s="5" t="s">
        <v>41</v>
      </c>
      <c r="B25" t="s">
        <v>18</v>
      </c>
      <c r="C25" t="s">
        <v>15</v>
      </c>
      <c r="D25" t="s">
        <v>42</v>
      </c>
    </row>
    <row r="26" spans="1:4" x14ac:dyDescent="0.3">
      <c r="A26" s="6" t="s">
        <v>16</v>
      </c>
      <c r="B26">
        <v>32</v>
      </c>
      <c r="C26">
        <v>32</v>
      </c>
      <c r="D26">
        <v>64</v>
      </c>
    </row>
    <row r="27" spans="1:4" x14ac:dyDescent="0.3">
      <c r="A27" s="6" t="s">
        <v>26</v>
      </c>
      <c r="B27">
        <v>3</v>
      </c>
      <c r="C27">
        <v>9</v>
      </c>
      <c r="D27">
        <v>12</v>
      </c>
    </row>
    <row r="28" spans="1:4" x14ac:dyDescent="0.3">
      <c r="A28" s="6" t="s">
        <v>22</v>
      </c>
      <c r="B28">
        <v>1</v>
      </c>
      <c r="C28">
        <v>1</v>
      </c>
      <c r="D28">
        <v>2</v>
      </c>
    </row>
    <row r="29" spans="1:4" x14ac:dyDescent="0.3">
      <c r="A29" s="6" t="s">
        <v>23</v>
      </c>
      <c r="B29">
        <v>7</v>
      </c>
      <c r="C29">
        <v>1</v>
      </c>
      <c r="D29">
        <v>8</v>
      </c>
    </row>
    <row r="30" spans="1:4" x14ac:dyDescent="0.3">
      <c r="A30" s="6" t="s">
        <v>42</v>
      </c>
      <c r="B30">
        <v>43</v>
      </c>
      <c r="C30">
        <v>43</v>
      </c>
      <c r="D30">
        <v>86</v>
      </c>
    </row>
    <row r="42" spans="1:4" x14ac:dyDescent="0.3">
      <c r="A42" s="5" t="s">
        <v>44</v>
      </c>
      <c r="B42" s="5" t="s">
        <v>45</v>
      </c>
    </row>
    <row r="43" spans="1:4" x14ac:dyDescent="0.3">
      <c r="A43" s="5" t="s">
        <v>41</v>
      </c>
      <c r="B43" t="s">
        <v>18</v>
      </c>
      <c r="C43" t="s">
        <v>15</v>
      </c>
      <c r="D43" t="s">
        <v>42</v>
      </c>
    </row>
    <row r="44" spans="1:4" x14ac:dyDescent="0.3">
      <c r="A44" s="6" t="s">
        <v>47</v>
      </c>
      <c r="B44">
        <v>3</v>
      </c>
      <c r="C44">
        <v>4</v>
      </c>
      <c r="D44">
        <v>7</v>
      </c>
    </row>
    <row r="45" spans="1:4" x14ac:dyDescent="0.3">
      <c r="A45" s="6" t="s">
        <v>48</v>
      </c>
      <c r="B45">
        <v>29</v>
      </c>
      <c r="C45">
        <v>35</v>
      </c>
      <c r="D45">
        <v>64</v>
      </c>
    </row>
    <row r="46" spans="1:4" x14ac:dyDescent="0.3">
      <c r="A46" s="6" t="s">
        <v>49</v>
      </c>
      <c r="B46">
        <v>11</v>
      </c>
      <c r="C46">
        <v>4</v>
      </c>
      <c r="D46">
        <v>15</v>
      </c>
    </row>
    <row r="47" spans="1:4" x14ac:dyDescent="0.3">
      <c r="A47" s="6" t="s">
        <v>42</v>
      </c>
      <c r="B47">
        <v>43</v>
      </c>
      <c r="C47">
        <v>43</v>
      </c>
      <c r="D47">
        <v>86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84D61-9946-4F54-8DC8-B412F493B512}">
  <dimension ref="E2"/>
  <sheetViews>
    <sheetView showGridLines="0" topLeftCell="A4" zoomScale="136" zoomScaleNormal="136" workbookViewId="0">
      <selection activeCell="O12" sqref="O12"/>
    </sheetView>
  </sheetViews>
  <sheetFormatPr defaultRowHeight="14.4" x14ac:dyDescent="0.3"/>
  <sheetData>
    <row r="2" spans="5:5" ht="61.2" x14ac:dyDescent="1.1000000000000001">
      <c r="E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Sheet_no1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Rangwako</dc:creator>
  <cp:lastModifiedBy>Simon Rangwako</cp:lastModifiedBy>
  <dcterms:created xsi:type="dcterms:W3CDTF">2022-03-18T02:50:57Z</dcterms:created>
  <dcterms:modified xsi:type="dcterms:W3CDTF">2026-09-02T08:32:10Z</dcterms:modified>
</cp:coreProperties>
</file>